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https://nih-my.sharepoint.com/personal/farneysk_nih_gov/Documents/ElnitskiLab/WGEMethSeq/metadatafiles/"/>
    </mc:Choice>
  </mc:AlternateContent>
  <xr:revisionPtr revIDLastSave="6" documentId="8_{D15F29A7-C4BF-604D-A1A1-C969EC772D2F}" xr6:coauthVersionLast="47" xr6:coauthVersionMax="47" xr10:uidLastSave="{5AAC3097-84D3-CE4C-8C8C-72AC6E642EE7}"/>
  <bookViews>
    <workbookView xWindow="45520" yWindow="840" windowWidth="37220" windowHeight="24640" xr2:uid="{00000000-000D-0000-FFFF-FFFF00000000}"/>
  </bookViews>
  <sheets>
    <sheet name="Metadata" sheetId="1" r:id="rId1"/>
    <sheet name="Missing Samples" sheetId="2" r:id="rId2"/>
    <sheet name="Sheet2" sheetId="3" r:id="rId3"/>
    <sheet name="Audubon Liver" sheetId="4" r:id="rId4"/>
    <sheet name="Sheet3" sheetId="5" r:id="rId5"/>
  </sheets>
  <externalReferences>
    <externalReference r:id="rId6"/>
  </externalReferences>
  <definedNames>
    <definedName name="OLE_LINK1" localSheetId="0">Metadata!$B$24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5" l="1"/>
  <c r="Q9" i="5" s="1"/>
  <c r="N9" i="5"/>
  <c r="O9" i="5" s="1"/>
  <c r="P8" i="5"/>
  <c r="Q8" i="5" s="1"/>
  <c r="N8" i="5"/>
  <c r="O8" i="5" s="1"/>
  <c r="P7" i="5"/>
  <c r="Q7" i="5" s="1"/>
  <c r="N7" i="5"/>
  <c r="O7" i="5" s="1"/>
  <c r="P6" i="5"/>
  <c r="Q6" i="5" s="1"/>
  <c r="N6" i="5"/>
  <c r="O6" i="5" s="1"/>
  <c r="P5" i="5"/>
  <c r="Q5" i="5" s="1"/>
  <c r="N5" i="5"/>
  <c r="O5" i="5" s="1"/>
  <c r="P4" i="5"/>
  <c r="Q4" i="5" s="1"/>
  <c r="N4" i="5"/>
  <c r="O4" i="5" s="1"/>
  <c r="P3" i="5"/>
  <c r="Q3" i="5" s="1"/>
  <c r="N3" i="5"/>
  <c r="O3" i="5" s="1"/>
  <c r="P2" i="5"/>
  <c r="Q2" i="5" s="1"/>
  <c r="N2" i="5"/>
  <c r="O2" i="5" s="1"/>
</calcChain>
</file>

<file path=xl/sharedStrings.xml><?xml version="1.0" encoding="utf-8"?>
<sst xmlns="http://schemas.openxmlformats.org/spreadsheetml/2006/main" count="3848" uniqueCount="658">
  <si>
    <t>TWIST ID</t>
  </si>
  <si>
    <t>Barcode</t>
  </si>
  <si>
    <t>Sex</t>
  </si>
  <si>
    <t>Race</t>
  </si>
  <si>
    <t>Ethnicity</t>
  </si>
  <si>
    <t>Year Drawn</t>
  </si>
  <si>
    <t>Age</t>
  </si>
  <si>
    <t>Age Bin</t>
  </si>
  <si>
    <t>Pathologic Stage</t>
  </si>
  <si>
    <t>Clinical Stage</t>
  </si>
  <si>
    <t>Status</t>
  </si>
  <si>
    <t>Stage_type</t>
  </si>
  <si>
    <t>Histology</t>
  </si>
  <si>
    <t>Tumor_site</t>
  </si>
  <si>
    <t>Year_of_Initial_Diagnosis</t>
  </si>
  <si>
    <t>Tissue</t>
  </si>
  <si>
    <t>BCT</t>
  </si>
  <si>
    <t>Tumor Size/ Foci (cm)</t>
  </si>
  <si>
    <t>Source</t>
  </si>
  <si>
    <t>VY_S1</t>
  </si>
  <si>
    <t>Male</t>
  </si>
  <si>
    <t>White</t>
  </si>
  <si>
    <t>Non-Spanish, Non-His</t>
  </si>
  <si>
    <t>60-69</t>
  </si>
  <si>
    <t>2A</t>
  </si>
  <si>
    <t>3B</t>
  </si>
  <si>
    <t>Cancer</t>
  </si>
  <si>
    <t>Pathologic_stage_group</t>
  </si>
  <si>
    <t>Adenocarcinoma, NOS</t>
  </si>
  <si>
    <t>Cecum</t>
  </si>
  <si>
    <t>colon</t>
  </si>
  <si>
    <t>EDTA</t>
  </si>
  <si>
    <t>NA</t>
  </si>
  <si>
    <t>Fox Chase</t>
  </si>
  <si>
    <t>VY_S2</t>
  </si>
  <si>
    <t>50-59</t>
  </si>
  <si>
    <t>Colon, sigmoid</t>
  </si>
  <si>
    <t>VY_S7</t>
  </si>
  <si>
    <t>2B</t>
  </si>
  <si>
    <t>Colon, ascending</t>
  </si>
  <si>
    <t>VY_S8</t>
  </si>
  <si>
    <t>Black</t>
  </si>
  <si>
    <t>3C</t>
  </si>
  <si>
    <t>VY_S4</t>
  </si>
  <si>
    <t>30-39</t>
  </si>
  <si>
    <t>V23_S7</t>
  </si>
  <si>
    <t>70-79</t>
  </si>
  <si>
    <t>2C</t>
  </si>
  <si>
    <t>V23_S8</t>
  </si>
  <si>
    <t>Colon, transverse</t>
  </si>
  <si>
    <t>V24_S1</t>
  </si>
  <si>
    <t>Female</t>
  </si>
  <si>
    <t>V24_S2</t>
  </si>
  <si>
    <t>V23_S6</t>
  </si>
  <si>
    <t>3A</t>
  </si>
  <si>
    <t>Colon, descending</t>
  </si>
  <si>
    <t>V21_S11</t>
  </si>
  <si>
    <t>Adenocarcinoma in adenomatous polyp</t>
  </si>
  <si>
    <t>V21_S15</t>
  </si>
  <si>
    <t>Colon, splenic flexure</t>
  </si>
  <si>
    <t>V23_S1</t>
  </si>
  <si>
    <t>Colon, NOS</t>
  </si>
  <si>
    <t>VZ_S2</t>
  </si>
  <si>
    <t>V21_S13</t>
  </si>
  <si>
    <t>Appendix</t>
  </si>
  <si>
    <t>VZ_S3</t>
  </si>
  <si>
    <t>Unknown Whether Span</t>
  </si>
  <si>
    <t>VZ_S7</t>
  </si>
  <si>
    <t>VZ_S8</t>
  </si>
  <si>
    <t>V21_S12</t>
  </si>
  <si>
    <t>V23_S3</t>
  </si>
  <si>
    <t>VZ_S6</t>
  </si>
  <si>
    <t>V21_S14</t>
  </si>
  <si>
    <t>80-89</t>
  </si>
  <si>
    <t>V10_S3</t>
  </si>
  <si>
    <t>MAD18-00622</t>
  </si>
  <si>
    <t>4A</t>
  </si>
  <si>
    <t>Colon, right/ascending</t>
  </si>
  <si>
    <t>colon_gDNA</t>
  </si>
  <si>
    <t>V24_S3</t>
  </si>
  <si>
    <t>Colon, hepatic flexure</t>
  </si>
  <si>
    <t>V3_S3</t>
  </si>
  <si>
    <t>Liver</t>
  </si>
  <si>
    <t>liver</t>
  </si>
  <si>
    <t>Citrate</t>
  </si>
  <si>
    <t>V5_S2</t>
  </si>
  <si>
    <t>Hepatocellular carcinoma, NOS (C22.0)</t>
  </si>
  <si>
    <t>V3_S1</t>
  </si>
  <si>
    <t>40-49</t>
  </si>
  <si>
    <t>V3_S4</t>
  </si>
  <si>
    <t>V5_S1</t>
  </si>
  <si>
    <t>V5_S3</t>
  </si>
  <si>
    <t>Cholangiocarcinoma (C22.1, C24.0)</t>
  </si>
  <si>
    <t>V5_S4</t>
  </si>
  <si>
    <t>V6_S1</t>
  </si>
  <si>
    <t>V6_S2</t>
  </si>
  <si>
    <t>V6_S3</t>
  </si>
  <si>
    <t>Other</t>
  </si>
  <si>
    <t>V6_S4</t>
  </si>
  <si>
    <t>V6_S5</t>
  </si>
  <si>
    <t>Leiomyosarcoma, NOS</t>
  </si>
  <si>
    <t>V6_S8</t>
  </si>
  <si>
    <t>V6_S6</t>
  </si>
  <si>
    <t>V6_S7</t>
  </si>
  <si>
    <t>V24_S5</t>
  </si>
  <si>
    <t>22-004307</t>
  </si>
  <si>
    <t>Caucasian</t>
  </si>
  <si>
    <t>Slavic</t>
  </si>
  <si>
    <t>Hepatocellular carcinoma</t>
  </si>
  <si>
    <t>Audobon</t>
  </si>
  <si>
    <t>Not enough sample to send for sequencing</t>
  </si>
  <si>
    <t>V24_S6</t>
  </si>
  <si>
    <t>22-004275</t>
  </si>
  <si>
    <t>Cholangiocarcinoma</t>
  </si>
  <si>
    <t>V24_S8</t>
  </si>
  <si>
    <t>22-004346</t>
  </si>
  <si>
    <t>4B</t>
  </si>
  <si>
    <t>V25_S1</t>
  </si>
  <si>
    <t>22-004276</t>
  </si>
  <si>
    <t>V25_S2</t>
  </si>
  <si>
    <t>20-05532</t>
  </si>
  <si>
    <t>V25_S3</t>
  </si>
  <si>
    <t>20-05536</t>
  </si>
  <si>
    <t>1B</t>
  </si>
  <si>
    <t>V25_S7</t>
  </si>
  <si>
    <t>20-05531</t>
  </si>
  <si>
    <t>V25_S8</t>
  </si>
  <si>
    <t>20-05530</t>
  </si>
  <si>
    <t>V25_S10</t>
  </si>
  <si>
    <t>20-05533</t>
  </si>
  <si>
    <t>V26_S2</t>
  </si>
  <si>
    <t>20-05535</t>
  </si>
  <si>
    <t>V26_S3</t>
  </si>
  <si>
    <t>20-05546</t>
  </si>
  <si>
    <t>V24_S4</t>
  </si>
  <si>
    <t>22-004306</t>
  </si>
  <si>
    <t>Liver (NOS)</t>
  </si>
  <si>
    <t>V8_S3</t>
  </si>
  <si>
    <t>Carcinoma, NOS</t>
  </si>
  <si>
    <t>Pancreas, head</t>
  </si>
  <si>
    <t>pancreas</t>
  </si>
  <si>
    <t>V8_S4</t>
  </si>
  <si>
    <t>V11_S12</t>
  </si>
  <si>
    <t>Carcinoid tumor, NOS [including of appendix]</t>
  </si>
  <si>
    <t>V28_S6</t>
  </si>
  <si>
    <t>Pancreas, tail</t>
  </si>
  <si>
    <t>V16_S1</t>
  </si>
  <si>
    <t>Pancreas, overlapping lesion</t>
  </si>
  <si>
    <t>V16_S7</t>
  </si>
  <si>
    <t>V16_S6</t>
  </si>
  <si>
    <t>V8_S2</t>
  </si>
  <si>
    <t>Infiltrating duct carcinoma, NOS</t>
  </si>
  <si>
    <t>V17_S8</t>
  </si>
  <si>
    <t>Puerto Rican</t>
  </si>
  <si>
    <t>V8_S7</t>
  </si>
  <si>
    <t>Unknown</t>
  </si>
  <si>
    <t>V16_S11</t>
  </si>
  <si>
    <t>V16_S12</t>
  </si>
  <si>
    <t>V15_S7</t>
  </si>
  <si>
    <t>Non-Spanish</t>
  </si>
  <si>
    <t>Body of pancreas</t>
  </si>
  <si>
    <t>V13_S4</t>
  </si>
  <si>
    <t>V15_S5</t>
  </si>
  <si>
    <t>V15_S6</t>
  </si>
  <si>
    <t>V8_S1</t>
  </si>
  <si>
    <t>V15_S9</t>
  </si>
  <si>
    <t>V13_S5</t>
  </si>
  <si>
    <t>V16_S10</t>
  </si>
  <si>
    <t>V8_S6</t>
  </si>
  <si>
    <t>Neuroendocrine carcinoma, NOS</t>
  </si>
  <si>
    <t>V8_S8</t>
  </si>
  <si>
    <t>V16_S3</t>
  </si>
  <si>
    <t>V16_S5</t>
  </si>
  <si>
    <t>V16_S9</t>
  </si>
  <si>
    <t>Invasive carcinoma of no special type (C50._) [BREAST ONLY]</t>
  </si>
  <si>
    <t>V28_S7</t>
  </si>
  <si>
    <t xml:space="preserve">Adenocarcinoma, NOS                                                     </t>
  </si>
  <si>
    <t xml:space="preserve">Pancreas, body                                                          </t>
  </si>
  <si>
    <t>V17_S20</t>
  </si>
  <si>
    <t>02-31649</t>
  </si>
  <si>
    <t>Adenocarcinoma</t>
  </si>
  <si>
    <t>stomach</t>
  </si>
  <si>
    <t>9*7</t>
  </si>
  <si>
    <t>Audubon</t>
  </si>
  <si>
    <t>V19_S7</t>
  </si>
  <si>
    <t>02-36124</t>
  </si>
  <si>
    <t>V20_S10</t>
  </si>
  <si>
    <t>02-37767</t>
  </si>
  <si>
    <t>V19_S1</t>
  </si>
  <si>
    <t>02-38266</t>
  </si>
  <si>
    <t>Tubular adenocarcinoma</t>
  </si>
  <si>
    <t>2*1</t>
  </si>
  <si>
    <t>V19_S2</t>
  </si>
  <si>
    <t>02-38621</t>
  </si>
  <si>
    <t>VY_S5</t>
  </si>
  <si>
    <t>02-39732</t>
  </si>
  <si>
    <t>Discohesive carcinoma</t>
  </si>
  <si>
    <t>V20_S12</t>
  </si>
  <si>
    <t>02-39947</t>
  </si>
  <si>
    <t>Mucinous adenocarcinoma</t>
  </si>
  <si>
    <t>V20_S11</t>
  </si>
  <si>
    <t>02-39960</t>
  </si>
  <si>
    <t>5,5*1,4</t>
  </si>
  <si>
    <t>V19_S5</t>
  </si>
  <si>
    <t>02-40641</t>
  </si>
  <si>
    <t>8*8</t>
  </si>
  <si>
    <t>V20_S9</t>
  </si>
  <si>
    <t>02-40783</t>
  </si>
  <si>
    <t>V20_S4</t>
  </si>
  <si>
    <t>Clinical_stage_group</t>
  </si>
  <si>
    <t>V20_S1</t>
  </si>
  <si>
    <t>V20_S5</t>
  </si>
  <si>
    <t>V20_S3</t>
  </si>
  <si>
    <t>V20_S6</t>
  </si>
  <si>
    <t>V20_S7</t>
  </si>
  <si>
    <t>V20_S8</t>
  </si>
  <si>
    <t>V20_S2</t>
  </si>
  <si>
    <t>V19_S11</t>
  </si>
  <si>
    <t>V19_S10</t>
  </si>
  <si>
    <t>V19_S9</t>
  </si>
  <si>
    <t>V19_S12</t>
  </si>
  <si>
    <t>Cardia, NOS</t>
  </si>
  <si>
    <t>V19_S3</t>
  </si>
  <si>
    <t>02-36505</t>
  </si>
  <si>
    <t>1A</t>
  </si>
  <si>
    <t>Stomach (NOS)</t>
  </si>
  <si>
    <t>1,5*1,2*0,3*0,3</t>
  </si>
  <si>
    <t>V19_S6</t>
  </si>
  <si>
    <t>02-38613</t>
  </si>
  <si>
    <t>9,5*3,5*1,4</t>
  </si>
  <si>
    <t>V3_S7</t>
  </si>
  <si>
    <t>Prostate gland</t>
  </si>
  <si>
    <t>prostate</t>
  </si>
  <si>
    <t>V3_S8</t>
  </si>
  <si>
    <t>V5_S5</t>
  </si>
  <si>
    <t>Spanish, NOS; Hispan</t>
  </si>
  <si>
    <t>V5_S7</t>
  </si>
  <si>
    <t>V6_S9</t>
  </si>
  <si>
    <t>V6_S10</t>
  </si>
  <si>
    <t>V6_S11</t>
  </si>
  <si>
    <t>V7_S1</t>
  </si>
  <si>
    <t>V7_S2</t>
  </si>
  <si>
    <t>V14_S2</t>
  </si>
  <si>
    <t>V14_S5</t>
  </si>
  <si>
    <t>V14_S6</t>
  </si>
  <si>
    <t>V14_S7</t>
  </si>
  <si>
    <t>V14_S8</t>
  </si>
  <si>
    <t>Sample not sent for sequencing</t>
  </si>
  <si>
    <t>V14_S9</t>
  </si>
  <si>
    <t>V14_S10</t>
  </si>
  <si>
    <t>V14_S11</t>
  </si>
  <si>
    <t>V14_S12</t>
  </si>
  <si>
    <t>V15_S11</t>
  </si>
  <si>
    <t xml:space="preserve">V14_S1 </t>
  </si>
  <si>
    <t>V14_S3</t>
  </si>
  <si>
    <t>V14_S4</t>
  </si>
  <si>
    <t>V25_S5</t>
  </si>
  <si>
    <t>white</t>
  </si>
  <si>
    <t>3+4</t>
  </si>
  <si>
    <t>Grade_group</t>
  </si>
  <si>
    <t>Streck</t>
  </si>
  <si>
    <t>Sowalsky</t>
  </si>
  <si>
    <t>V25_S6</t>
  </si>
  <si>
    <t>4+4</t>
  </si>
  <si>
    <t>V25_S11</t>
  </si>
  <si>
    <t>V32_S3</t>
  </si>
  <si>
    <t>V36_S1</t>
  </si>
  <si>
    <t>benign</t>
  </si>
  <si>
    <t>V32_S2</t>
  </si>
  <si>
    <t>V32_S4</t>
  </si>
  <si>
    <t>4+3</t>
  </si>
  <si>
    <t>V32_S5</t>
  </si>
  <si>
    <t>V32_S1</t>
  </si>
  <si>
    <t>V36_S2</t>
  </si>
  <si>
    <t>V36_S3</t>
  </si>
  <si>
    <t>V32_S6</t>
  </si>
  <si>
    <t>V36_S10</t>
  </si>
  <si>
    <t>V36_S12</t>
  </si>
  <si>
    <t>V37_S1</t>
  </si>
  <si>
    <t>V37_S10</t>
  </si>
  <si>
    <t>3+3</t>
  </si>
  <si>
    <t>V37_S11</t>
  </si>
  <si>
    <t>V37_S12</t>
  </si>
  <si>
    <t>V37_S13</t>
  </si>
  <si>
    <t>V37_S15</t>
  </si>
  <si>
    <t>V37_S16</t>
  </si>
  <si>
    <t>V37_S2</t>
  </si>
  <si>
    <t>V37_S3</t>
  </si>
  <si>
    <t>V37_S4</t>
  </si>
  <si>
    <t>V37_S9</t>
  </si>
  <si>
    <t>V2_S1</t>
  </si>
  <si>
    <t>CD563387</t>
  </si>
  <si>
    <t>prostate_gDNA</t>
  </si>
  <si>
    <t>Origene</t>
  </si>
  <si>
    <t>V39_S2</t>
  </si>
  <si>
    <t xml:space="preserve">Serous cystadenocarcinoma, NOS (C56.9)                                  </t>
  </si>
  <si>
    <t>Ovary</t>
  </si>
  <si>
    <t>ovary</t>
  </si>
  <si>
    <t>V39_S3</t>
  </si>
  <si>
    <t>V39_S4</t>
  </si>
  <si>
    <t xml:space="preserve">Endometrioid adenocarcinoma, NOS                                        </t>
  </si>
  <si>
    <t>V39_S5</t>
  </si>
  <si>
    <t>V39_S6</t>
  </si>
  <si>
    <t>V39_S7</t>
  </si>
  <si>
    <t>high grade papillary serous carcinoma</t>
  </si>
  <si>
    <t>no metadata</t>
  </si>
  <si>
    <t>V39_S8</t>
  </si>
  <si>
    <t>V39_S9</t>
  </si>
  <si>
    <t>V39_S10</t>
  </si>
  <si>
    <t>1C</t>
  </si>
  <si>
    <t>V39_S11</t>
  </si>
  <si>
    <t>V39_S12</t>
  </si>
  <si>
    <t>V6_S13</t>
  </si>
  <si>
    <t>22-001953</t>
  </si>
  <si>
    <t>Ukraine</t>
  </si>
  <si>
    <t>Healthy</t>
  </si>
  <si>
    <t>healthyblood</t>
  </si>
  <si>
    <t>V6_S14</t>
  </si>
  <si>
    <t>22-001954</t>
  </si>
  <si>
    <t>V6_S15</t>
  </si>
  <si>
    <t>22-001955</t>
  </si>
  <si>
    <t>V6_S16</t>
  </si>
  <si>
    <t>22-001956</t>
  </si>
  <si>
    <t>V7_S4</t>
  </si>
  <si>
    <t>22-001957</t>
  </si>
  <si>
    <t>V7_S5</t>
  </si>
  <si>
    <t>22-001958</t>
  </si>
  <si>
    <t>V7_S6</t>
  </si>
  <si>
    <t>22-001959</t>
  </si>
  <si>
    <t>V7_S7</t>
  </si>
  <si>
    <t>22-001960</t>
  </si>
  <si>
    <t>V7_S8</t>
  </si>
  <si>
    <t>22-001961</t>
  </si>
  <si>
    <t>V7_S9</t>
  </si>
  <si>
    <t>22-001962</t>
  </si>
  <si>
    <t>V7_S10</t>
  </si>
  <si>
    <t>22-001963</t>
  </si>
  <si>
    <t>V7_S11</t>
  </si>
  <si>
    <t>22-001964</t>
  </si>
  <si>
    <t>V7_S12</t>
  </si>
  <si>
    <t>22-001965</t>
  </si>
  <si>
    <t>V7_S13</t>
  </si>
  <si>
    <t>22-001966</t>
  </si>
  <si>
    <t>V7_S14</t>
  </si>
  <si>
    <t>22-001967</t>
  </si>
  <si>
    <t>V7_S15</t>
  </si>
  <si>
    <t>22-001968</t>
  </si>
  <si>
    <t>V7_S16</t>
  </si>
  <si>
    <t>22-001970</t>
  </si>
  <si>
    <t>V12_S1</t>
  </si>
  <si>
    <t>22-001977</t>
  </si>
  <si>
    <t>V17_S1</t>
  </si>
  <si>
    <t>22-001981</t>
  </si>
  <si>
    <t>V12_S3</t>
  </si>
  <si>
    <t>22-001982</t>
  </si>
  <si>
    <t>V12_S2</t>
  </si>
  <si>
    <t>22-001983</t>
  </si>
  <si>
    <t>V12_S14</t>
  </si>
  <si>
    <t>22-002362</t>
  </si>
  <si>
    <t>V17_S3</t>
  </si>
  <si>
    <t>22-002365</t>
  </si>
  <si>
    <t>V17_S2</t>
  </si>
  <si>
    <t>22-002366</t>
  </si>
  <si>
    <t>V13_S3</t>
  </si>
  <si>
    <t>22-002367</t>
  </si>
  <si>
    <t>V13_S2</t>
  </si>
  <si>
    <t>22-002368</t>
  </si>
  <si>
    <t>V13_S1</t>
  </si>
  <si>
    <t>22-002369</t>
  </si>
  <si>
    <t>V13_S10</t>
  </si>
  <si>
    <t>22-002370</t>
  </si>
  <si>
    <t>V13_S8</t>
  </si>
  <si>
    <t>22-002371</t>
  </si>
  <si>
    <t>V13_S9</t>
  </si>
  <si>
    <t>22-002372</t>
  </si>
  <si>
    <t>V17_S5</t>
  </si>
  <si>
    <t>22-002373</t>
  </si>
  <si>
    <t>V17_S16</t>
  </si>
  <si>
    <t>22-002375</t>
  </si>
  <si>
    <t>V17_S19</t>
  </si>
  <si>
    <t>22-002379</t>
  </si>
  <si>
    <t>V17_S18</t>
  </si>
  <si>
    <t>22-002380</t>
  </si>
  <si>
    <t>V32_S7</t>
  </si>
  <si>
    <t>NH_1</t>
  </si>
  <si>
    <t>Asian</t>
  </si>
  <si>
    <t>NIH_Clinical_Center</t>
  </si>
  <si>
    <t>V32_S8</t>
  </si>
  <si>
    <t>NH_2</t>
  </si>
  <si>
    <t>V32_S9</t>
  </si>
  <si>
    <t>NH_3</t>
  </si>
  <si>
    <t>V32_S10</t>
  </si>
  <si>
    <t>NH_4</t>
  </si>
  <si>
    <t>V32_S11</t>
  </si>
  <si>
    <t>NH_5</t>
  </si>
  <si>
    <t>V32_S12</t>
  </si>
  <si>
    <t>NH_6</t>
  </si>
  <si>
    <t>20-29</t>
  </si>
  <si>
    <t>V34_S2</t>
  </si>
  <si>
    <t>NH_8</t>
  </si>
  <si>
    <t>V34_S5</t>
  </si>
  <si>
    <t>NH_11</t>
  </si>
  <si>
    <t>V34_S6</t>
  </si>
  <si>
    <t>NH_12</t>
  </si>
  <si>
    <t>V34_S8</t>
  </si>
  <si>
    <t>NH_14</t>
  </si>
  <si>
    <t>V34_S10</t>
  </si>
  <si>
    <t>NH_16</t>
  </si>
  <si>
    <t>V36_S5</t>
  </si>
  <si>
    <t>NH_19</t>
  </si>
  <si>
    <t>V36_S6</t>
  </si>
  <si>
    <t>NH_20</t>
  </si>
  <si>
    <t>V36_S7</t>
  </si>
  <si>
    <t>NH_21</t>
  </si>
  <si>
    <t>V36_S13</t>
  </si>
  <si>
    <t>NH_23</t>
  </si>
  <si>
    <t>V37_S6</t>
  </si>
  <si>
    <t>NH_28</t>
  </si>
  <si>
    <t>V37_S8</t>
  </si>
  <si>
    <t>NH_30</t>
  </si>
  <si>
    <t>V34_S1</t>
  </si>
  <si>
    <t>NH_7</t>
  </si>
  <si>
    <t>V34_S3</t>
  </si>
  <si>
    <t>NH_9</t>
  </si>
  <si>
    <t>V34_S4</t>
  </si>
  <si>
    <t>NH_10</t>
  </si>
  <si>
    <t>V34_S7</t>
  </si>
  <si>
    <t>NH_13</t>
  </si>
  <si>
    <t>V34_S9</t>
  </si>
  <si>
    <t>NH_15</t>
  </si>
  <si>
    <t>V35_S2</t>
  </si>
  <si>
    <t>P215948</t>
  </si>
  <si>
    <t>Sereti lab</t>
  </si>
  <si>
    <t>V36_S8</t>
  </si>
  <si>
    <t>NH_22</t>
  </si>
  <si>
    <t>V36_S14</t>
  </si>
  <si>
    <t>NH_24</t>
  </si>
  <si>
    <t>V36_S16</t>
  </si>
  <si>
    <t>NH_26</t>
  </si>
  <si>
    <t>Tumor Size/ Foci</t>
  </si>
  <si>
    <t>·       V10_S3 — colon_gDNA</t>
  </si>
  <si>
    <t>·       V14_S1 — prostate</t>
  </si>
  <si>
    <t>·       V14_S3 — prostate</t>
  </si>
  <si>
    <t>·       V14_S4 — prostate</t>
  </si>
  <si>
    <t>·       V19_S12 — stomach</t>
  </si>
  <si>
    <t>·       V19_S3 — stomach</t>
  </si>
  <si>
    <t>·       V19_S6 — stomach</t>
  </si>
  <si>
    <t>·       V24_S3 — colon</t>
  </si>
  <si>
    <t>·       V24_S4 — liver</t>
  </si>
  <si>
    <t>·       V28_S7 — pancreas</t>
  </si>
  <si>
    <t>·       V2_S1 — prostate_gDNA</t>
  </si>
  <si>
    <t>·       V34_S1 — healthyblood</t>
  </si>
  <si>
    <t>·       V34_S3 — healthyblood</t>
  </si>
  <si>
    <t>·       V34_S4 — healthyblood</t>
  </si>
  <si>
    <t>·       V34_S7 — healthyblood</t>
  </si>
  <si>
    <t>·       V34_S9 — healthyblood</t>
  </si>
  <si>
    <t>·       V35_S2 — healthyblood</t>
  </si>
  <si>
    <t>·       V36_S7 — healthyblood</t>
  </si>
  <si>
    <t>·       V36_S8 — healthyblood</t>
  </si>
  <si>
    <t>·       V37_S2 — prostate</t>
  </si>
  <si>
    <t>·       V37_S3 — prostate</t>
  </si>
  <si>
    <t>·       V37_S4 — prostate</t>
  </si>
  <si>
    <t>·       V37_S9 — prostate</t>
  </si>
  <si>
    <t>·       V39_S2 — ovarian</t>
  </si>
  <si>
    <t>·       V39_S3 — ovarian</t>
  </si>
  <si>
    <t>·       V39_S4 — ovarian</t>
  </si>
  <si>
    <t>·       V39_S5 — ovarian</t>
  </si>
  <si>
    <t>·       V39_S6 — ovarian</t>
  </si>
  <si>
    <t>·       V39_S7 — ovarian</t>
  </si>
  <si>
    <t>·       V39_S8 — ovarian</t>
  </si>
  <si>
    <t>·       V39_S9 — ovarian</t>
  </si>
  <si>
    <t>·       V39_S10 — ovarian</t>
  </si>
  <si>
    <t>·       V39_S11 — ovarian</t>
  </si>
  <si>
    <t>·       V39_S12 — ovarian</t>
  </si>
  <si>
    <t>MPL-Blood</t>
  </si>
  <si>
    <t>Demographics</t>
  </si>
  <si>
    <t>Diagnosis data</t>
  </si>
  <si>
    <t>Clinical TNM</t>
  </si>
  <si>
    <t>Comorbidities</t>
  </si>
  <si>
    <t>Treatment status</t>
  </si>
  <si>
    <t>Current medications</t>
  </si>
  <si>
    <t>Infections</t>
  </si>
  <si>
    <t>#</t>
  </si>
  <si>
    <t>Country of collection</t>
  </si>
  <si>
    <t>Subject site code (SSC)</t>
  </si>
  <si>
    <t>Subject Identificatio Number (SIN)</t>
  </si>
  <si>
    <t>Specimen ID</t>
  </si>
  <si>
    <t>Specimen type</t>
  </si>
  <si>
    <t>Sample volume, ml</t>
  </si>
  <si>
    <t>Blood collection date</t>
  </si>
  <si>
    <t>Blood collection time</t>
  </si>
  <si>
    <t>Blood processing start date</t>
  </si>
  <si>
    <t>Blood processing start time</t>
  </si>
  <si>
    <t>Storage start date</t>
  </si>
  <si>
    <t>Storage start time</t>
  </si>
  <si>
    <t>Storage temperature conditions,  *С</t>
  </si>
  <si>
    <t>Gender</t>
  </si>
  <si>
    <t>Height, cm</t>
  </si>
  <si>
    <t>Weight, kg</t>
  </si>
  <si>
    <t>Clinical Diagnosis</t>
  </si>
  <si>
    <t>Date of initial diagnosis</t>
  </si>
  <si>
    <t>Histological type</t>
  </si>
  <si>
    <t>T</t>
  </si>
  <si>
    <t>N</t>
  </si>
  <si>
    <t>M</t>
  </si>
  <si>
    <t>G</t>
  </si>
  <si>
    <t>Stage</t>
  </si>
  <si>
    <t>Drug</t>
  </si>
  <si>
    <t>Dose&amp;Unit</t>
  </si>
  <si>
    <t>Start date</t>
  </si>
  <si>
    <t>End date</t>
  </si>
  <si>
    <t>Drug 2</t>
  </si>
  <si>
    <t>Dose&amp;Unit 2</t>
  </si>
  <si>
    <t>Start date 2</t>
  </si>
  <si>
    <t>End date 2</t>
  </si>
  <si>
    <t>Drug 3</t>
  </si>
  <si>
    <t>Dose&amp;Unit 3</t>
  </si>
  <si>
    <t>Start date 3</t>
  </si>
  <si>
    <t>End date 3</t>
  </si>
  <si>
    <t>Drug 4</t>
  </si>
  <si>
    <t>Dose&amp;Unit 4</t>
  </si>
  <si>
    <t>Start date 4</t>
  </si>
  <si>
    <t>End date 4</t>
  </si>
  <si>
    <t>Drug 5</t>
  </si>
  <si>
    <t>Dose&amp;Unit 5</t>
  </si>
  <si>
    <t>Start date 5</t>
  </si>
  <si>
    <t>End date 5</t>
  </si>
  <si>
    <t>Drug 6</t>
  </si>
  <si>
    <t>Dose&amp;Unit 6</t>
  </si>
  <si>
    <t>Start date 6</t>
  </si>
  <si>
    <t>End date 6</t>
  </si>
  <si>
    <t>Drug 7</t>
  </si>
  <si>
    <t>Dose&amp;Unit 7</t>
  </si>
  <si>
    <t>Start date 7</t>
  </si>
  <si>
    <t>End date 7</t>
  </si>
  <si>
    <t>HIV</t>
  </si>
  <si>
    <t>HEP B</t>
  </si>
  <si>
    <t>HEP C</t>
  </si>
  <si>
    <t>KRH</t>
  </si>
  <si>
    <t>20-05546-PL01</t>
  </si>
  <si>
    <t>Plasma</t>
  </si>
  <si>
    <t>Liver cancer</t>
  </si>
  <si>
    <t>T2</t>
  </si>
  <si>
    <t>N0</t>
  </si>
  <si>
    <t>M0</t>
  </si>
  <si>
    <t>G1</t>
  </si>
  <si>
    <t>II</t>
  </si>
  <si>
    <t>Heart failure, Cardiosclerosis</t>
  </si>
  <si>
    <t>Treatment naive</t>
  </si>
  <si>
    <t>Lizinopryl</t>
  </si>
  <si>
    <t>20 mg</t>
  </si>
  <si>
    <t>N/A</t>
  </si>
  <si>
    <t>Carvedilolum</t>
  </si>
  <si>
    <t>25 mg</t>
  </si>
  <si>
    <t>Magnikor</t>
  </si>
  <si>
    <t>75 mg</t>
  </si>
  <si>
    <t>Negative</t>
  </si>
  <si>
    <t>SVT4</t>
  </si>
  <si>
    <t>20-05535-PL01</t>
  </si>
  <si>
    <t>T3</t>
  </si>
  <si>
    <t>G2</t>
  </si>
  <si>
    <t>IIIA</t>
  </si>
  <si>
    <t>Cholelithiasis</t>
  </si>
  <si>
    <t>Glutargin</t>
  </si>
  <si>
    <t>20-05533-PL01</t>
  </si>
  <si>
    <t>T1b</t>
  </si>
  <si>
    <t>IB</t>
  </si>
  <si>
    <t xml:space="preserve">Mechanical jaundice, Diverticulosis of the sigmoid colon, Hypertension II </t>
  </si>
  <si>
    <t>Omez</t>
  </si>
  <si>
    <t>Bysacodylum</t>
  </si>
  <si>
    <t>1 supp</t>
  </si>
  <si>
    <t>Lactulosum</t>
  </si>
  <si>
    <t>30 ml</t>
  </si>
  <si>
    <t>Torasemide</t>
  </si>
  <si>
    <t>5 mg</t>
  </si>
  <si>
    <t>Bisoprolol</t>
  </si>
  <si>
    <t>2 mg</t>
  </si>
  <si>
    <t>Ketorolacum</t>
  </si>
  <si>
    <t>10 mg</t>
  </si>
  <si>
    <t>Metoclopramidum</t>
  </si>
  <si>
    <t>20-05530-PL01</t>
  </si>
  <si>
    <t>Hypertension</t>
  </si>
  <si>
    <t>Captopril</t>
  </si>
  <si>
    <t>20-05531-PL01</t>
  </si>
  <si>
    <t>N1</t>
  </si>
  <si>
    <t>M1</t>
  </si>
  <si>
    <t>IV</t>
  </si>
  <si>
    <t>Hypertension, Ischemic heart disease</t>
  </si>
  <si>
    <t>Magnicor</t>
  </si>
  <si>
    <t>20-05536-PL01</t>
  </si>
  <si>
    <t>Hypertension, Varicose veins of the lower extremities</t>
  </si>
  <si>
    <t>Detralex</t>
  </si>
  <si>
    <t>1000 mg</t>
  </si>
  <si>
    <t>20-05532-PL01</t>
  </si>
  <si>
    <t>Chronic pancreatitis, Cholelithiasis</t>
  </si>
  <si>
    <t>Heptral</t>
  </si>
  <si>
    <t>500 mg</t>
  </si>
  <si>
    <t>Pancreatinum</t>
  </si>
  <si>
    <t>300 mg</t>
  </si>
  <si>
    <t>CHE</t>
  </si>
  <si>
    <t>22-004276-PL1</t>
  </si>
  <si>
    <t>No</t>
  </si>
  <si>
    <t>Treatment-naive</t>
  </si>
  <si>
    <t>SVT</t>
  </si>
  <si>
    <t>22-004346-PL1</t>
  </si>
  <si>
    <t>IVB</t>
  </si>
  <si>
    <t>22-004275-PL1</t>
  </si>
  <si>
    <t>CMC</t>
  </si>
  <si>
    <t>22-004307-PL1</t>
  </si>
  <si>
    <t>G3</t>
  </si>
  <si>
    <t>IVA</t>
  </si>
  <si>
    <t>Internal Sample ID</t>
  </si>
  <si>
    <t>TWIST_ID</t>
  </si>
  <si>
    <t>Sample_Type</t>
  </si>
  <si>
    <t>Barcode_clean</t>
  </si>
  <si>
    <t>Amount of plasma (mL)</t>
  </si>
  <si>
    <t>Extraction method</t>
  </si>
  <si>
    <t>Concentration cfDNA extracted (ng/microL)</t>
  </si>
  <si>
    <t>DNA library concentration (ng/microL)</t>
  </si>
  <si>
    <t>Fragment size QC</t>
  </si>
  <si>
    <t>Uniquely mapped reads</t>
  </si>
  <si>
    <t>Conversion rate_MiSeq</t>
  </si>
  <si>
    <t>nonCpG_meth_rate_HybSeq</t>
  </si>
  <si>
    <t>Final_QC_conversion_rate</t>
  </si>
  <si>
    <t>nonCpG_QUERY_meth_rate_HybSeq</t>
  </si>
  <si>
    <t>Final_QUERY_QC_conversion_rate</t>
  </si>
  <si>
    <t>Date library prep complete</t>
  </si>
  <si>
    <t>Date hyb complete</t>
  </si>
  <si>
    <t>Date sequencing data released</t>
  </si>
  <si>
    <t>Additional notes</t>
  </si>
  <si>
    <t>COAD_gDNA_#311</t>
  </si>
  <si>
    <t>V10_S1</t>
  </si>
  <si>
    <t>gDNA_TumorCOAD</t>
  </si>
  <si>
    <t>Laura?</t>
  </si>
  <si>
    <t>yes</t>
  </si>
  <si>
    <t>TWIST library prep kit expired 01/2024</t>
  </si>
  <si>
    <t>COAD_gDNA_#245</t>
  </si>
  <si>
    <t>V10_S2</t>
  </si>
  <si>
    <t>TWIST library prep kit expired 01/2025</t>
  </si>
  <si>
    <t>COAD_gDNA_#622</t>
  </si>
  <si>
    <t>TWIST library prep kit expired 01/2026</t>
  </si>
  <si>
    <t>COAD_gDNA_#658</t>
  </si>
  <si>
    <t>V10_S4</t>
  </si>
  <si>
    <t>TWIST library prep kit expired 01/2027</t>
  </si>
  <si>
    <t>COAD_gDNA_#813</t>
  </si>
  <si>
    <t>V10_S5</t>
  </si>
  <si>
    <t>TWIST library prep kit expired 01/2028</t>
  </si>
  <si>
    <t>COAD_gDNA_#132</t>
  </si>
  <si>
    <t>V10_S6</t>
  </si>
  <si>
    <t>TWIST library prep kit expired 01/2029</t>
  </si>
  <si>
    <t>COAD_gDNA_#162</t>
  </si>
  <si>
    <t>V10_S7</t>
  </si>
  <si>
    <t>TWIST library prep kit expired 01/2030</t>
  </si>
  <si>
    <t>UCEC_gDNA_#196</t>
  </si>
  <si>
    <t>V10_S8</t>
  </si>
  <si>
    <t>gDNA_TumorUCEC</t>
  </si>
  <si>
    <t>TWIST library prep kit expired 01/2031</t>
  </si>
  <si>
    <t>ACD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</si>
</sst>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yyyy\-mm\-dd"/>
    <numFmt numFmtId="166" formatCode="&quot;$&quot;#,##0.0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</font>
    <font>
      <sz val="9"/>
      <color indexed="8"/>
      <name val="Arial"/>
      <family val="2"/>
    </font>
    <font>
      <sz val="9"/>
      <color rgb="FF000000"/>
      <name val="Arial"/>
      <family val="2"/>
    </font>
    <font>
      <sz val="10"/>
      <color theme="1"/>
      <name val="Aptos"/>
    </font>
  </fonts>
  <fills count="20">
    <fill>
      <patternFill patternType="none"/>
    </fill>
    <fill>
      <patternFill patternType="gray125"/>
    </fill>
    <fill>
      <patternFill patternType="solid">
        <fgColor rgb="FFF7F7F7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rgb="FFCFE2F3"/>
        <bgColor rgb="FFCFE2F3"/>
      </patternFill>
    </fill>
    <fill>
      <patternFill patternType="solid">
        <fgColor rgb="FFA8D08D"/>
        <bgColor rgb="FFA8D08D"/>
      </patternFill>
    </fill>
    <fill>
      <patternFill patternType="solid">
        <fgColor rgb="FFD9EAD3"/>
        <bgColor rgb="FFD9EAD3"/>
      </patternFill>
    </fill>
    <fill>
      <patternFill patternType="solid">
        <fgColor rgb="FF9933FF"/>
        <bgColor rgb="FF9933FF"/>
      </patternFill>
    </fill>
    <fill>
      <patternFill patternType="solid">
        <fgColor rgb="FFFFD2E8"/>
        <bgColor indexed="64"/>
      </patternFill>
    </fill>
    <fill>
      <patternFill patternType="solid">
        <fgColor rgb="FFFFD2E8"/>
        <bgColor rgb="FFFFFFFF"/>
      </patternFill>
    </fill>
    <fill>
      <patternFill patternType="solid">
        <fgColor rgb="FFFFD2E8"/>
        <bgColor rgb="FFD9EAD3"/>
      </patternFill>
    </fill>
    <fill>
      <patternFill patternType="solid">
        <fgColor rgb="FFFFFF00"/>
        <bgColor indexed="64"/>
      </patternFill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DFF8B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/>
      <right style="thin">
        <color rgb="FFDDDDDD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  <diagonal/>
    </border>
  </borders>
  <cellStyleXfs count="1">
    <xf numFmtId="0" fontId="0" fillId="0" borderId="0"/>
  </cellStyleXfs>
  <cellXfs count="114">
    <xf numFmtId="0" fontId="0" fillId="0" borderId="0" xfId="0"/>
    <xf numFmtId="1" fontId="0" fillId="0" borderId="0" xfId="0" applyNumberFormat="1"/>
    <xf numFmtId="49" fontId="5" fillId="2" borderId="2" xfId="0" applyNumberFormat="1" applyFont="1" applyFill="1" applyBorder="1" applyAlignment="1">
      <alignment horizontal="left" wrapText="1"/>
    </xf>
    <xf numFmtId="1" fontId="5" fillId="3" borderId="2" xfId="0" applyNumberFormat="1" applyFont="1" applyFill="1" applyBorder="1" applyAlignment="1">
      <alignment horizontal="right"/>
    </xf>
    <xf numFmtId="49" fontId="5" fillId="3" borderId="2" xfId="0" applyNumberFormat="1" applyFont="1" applyFill="1" applyBorder="1" applyAlignment="1">
      <alignment horizontal="left"/>
    </xf>
    <xf numFmtId="0" fontId="5" fillId="3" borderId="2" xfId="0" applyFont="1" applyFill="1" applyBorder="1" applyAlignment="1">
      <alignment horizontal="right"/>
    </xf>
    <xf numFmtId="49" fontId="5" fillId="3" borderId="3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wrapText="1"/>
    </xf>
    <xf numFmtId="1" fontId="6" fillId="3" borderId="2" xfId="0" applyNumberFormat="1" applyFont="1" applyFill="1" applyBorder="1" applyAlignment="1">
      <alignment horizontal="right"/>
    </xf>
    <xf numFmtId="49" fontId="5" fillId="0" borderId="2" xfId="0" applyNumberFormat="1" applyFont="1" applyBorder="1" applyAlignment="1">
      <alignment horizontal="left"/>
    </xf>
    <xf numFmtId="0" fontId="5" fillId="3" borderId="0" xfId="0" applyFont="1" applyFill="1" applyAlignment="1">
      <alignment horizontal="left"/>
    </xf>
    <xf numFmtId="49" fontId="5" fillId="2" borderId="2" xfId="0" applyNumberFormat="1" applyFont="1" applyFill="1" applyBorder="1" applyAlignment="1">
      <alignment horizontal="left"/>
    </xf>
    <xf numFmtId="0" fontId="7" fillId="4" borderId="4" xfId="0" applyFont="1" applyFill="1" applyBorder="1" applyAlignment="1">
      <alignment horizontal="center" vertical="center" wrapText="1"/>
    </xf>
    <xf numFmtId="49" fontId="7" fillId="4" borderId="4" xfId="0" applyNumberFormat="1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49" fontId="7" fillId="6" borderId="5" xfId="0" applyNumberFormat="1" applyFont="1" applyFill="1" applyBorder="1" applyAlignment="1">
      <alignment horizontal="center" vertical="center" wrapText="1"/>
    </xf>
    <xf numFmtId="164" fontId="7" fillId="6" borderId="5" xfId="0" applyNumberFormat="1" applyFont="1" applyFill="1" applyBorder="1" applyAlignment="1">
      <alignment horizontal="center" vertical="center" wrapText="1"/>
    </xf>
    <xf numFmtId="164" fontId="7" fillId="6" borderId="7" xfId="0" applyNumberFormat="1" applyFont="1" applyFill="1" applyBorder="1" applyAlignment="1">
      <alignment horizontal="center" vertical="center" wrapText="1"/>
    </xf>
    <xf numFmtId="164" fontId="7" fillId="6" borderId="8" xfId="0" applyNumberFormat="1" applyFont="1" applyFill="1" applyBorder="1" applyAlignment="1">
      <alignment horizontal="center" vertical="center" wrapText="1"/>
    </xf>
    <xf numFmtId="0" fontId="4" fillId="0" borderId="8" xfId="0" applyFont="1" applyBorder="1"/>
    <xf numFmtId="0" fontId="7" fillId="0" borderId="0" xfId="0" applyFont="1"/>
    <xf numFmtId="0" fontId="4" fillId="0" borderId="8" xfId="0" applyFont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165" fontId="4" fillId="0" borderId="8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7" borderId="8" xfId="0" applyFont="1" applyFill="1" applyBorder="1" applyAlignment="1">
      <alignment horizontal="center" vertical="center" wrapText="1"/>
    </xf>
    <xf numFmtId="166" fontId="4" fillId="7" borderId="8" xfId="0" applyNumberFormat="1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wrapText="1"/>
    </xf>
    <xf numFmtId="0" fontId="7" fillId="8" borderId="8" xfId="0" applyFont="1" applyFill="1" applyBorder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49" fontId="5" fillId="3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wrapText="1"/>
    </xf>
    <xf numFmtId="0" fontId="0" fillId="9" borderId="0" xfId="0" applyFill="1"/>
    <xf numFmtId="1" fontId="5" fillId="10" borderId="2" xfId="0" applyNumberFormat="1" applyFont="1" applyFill="1" applyBorder="1" applyAlignment="1">
      <alignment horizontal="right"/>
    </xf>
    <xf numFmtId="49" fontId="5" fillId="10" borderId="2" xfId="0" applyNumberFormat="1" applyFont="1" applyFill="1" applyBorder="1" applyAlignment="1">
      <alignment horizontal="left"/>
    </xf>
    <xf numFmtId="49" fontId="5" fillId="10" borderId="3" xfId="0" applyNumberFormat="1" applyFont="1" applyFill="1" applyBorder="1" applyAlignment="1">
      <alignment horizontal="left"/>
    </xf>
    <xf numFmtId="49" fontId="5" fillId="10" borderId="0" xfId="0" applyNumberFormat="1" applyFont="1" applyFill="1" applyAlignment="1">
      <alignment horizontal="left"/>
    </xf>
    <xf numFmtId="0" fontId="4" fillId="9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49" fontId="5" fillId="10" borderId="9" xfId="0" applyNumberFormat="1" applyFont="1" applyFill="1" applyBorder="1" applyAlignment="1">
      <alignment horizontal="left"/>
    </xf>
    <xf numFmtId="1" fontId="5" fillId="10" borderId="9" xfId="0" applyNumberFormat="1" applyFont="1" applyFill="1" applyBorder="1" applyAlignment="1">
      <alignment horizontal="right"/>
    </xf>
    <xf numFmtId="1" fontId="5" fillId="9" borderId="0" xfId="0" applyNumberFormat="1" applyFont="1" applyFill="1" applyAlignment="1">
      <alignment horizontal="right"/>
    </xf>
    <xf numFmtId="0" fontId="4" fillId="9" borderId="0" xfId="0" applyFont="1" applyFill="1" applyAlignment="1">
      <alignment horizontal="center" vertical="center"/>
    </xf>
    <xf numFmtId="49" fontId="5" fillId="9" borderId="0" xfId="0" applyNumberFormat="1" applyFont="1" applyFill="1" applyAlignment="1">
      <alignment horizontal="left"/>
    </xf>
    <xf numFmtId="0" fontId="4" fillId="11" borderId="0" xfId="0" applyFont="1" applyFill="1" applyAlignment="1">
      <alignment horizontal="center" vertical="center" wrapText="1"/>
    </xf>
    <xf numFmtId="0" fontId="4" fillId="11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 wrapText="1"/>
    </xf>
    <xf numFmtId="0" fontId="0" fillId="9" borderId="0" xfId="0" applyFill="1" applyAlignment="1">
      <alignment wrapText="1"/>
    </xf>
    <xf numFmtId="49" fontId="5" fillId="10" borderId="0" xfId="0" applyNumberFormat="1" applyFont="1" applyFill="1" applyAlignment="1">
      <alignment horizontal="left" wrapText="1"/>
    </xf>
    <xf numFmtId="0" fontId="1" fillId="0" borderId="0" xfId="0" applyFont="1" applyAlignment="1">
      <alignment horizontal="center"/>
    </xf>
    <xf numFmtId="0" fontId="0" fillId="12" borderId="0" xfId="0" applyFill="1"/>
    <xf numFmtId="10" fontId="0" fillId="0" borderId="0" xfId="0" applyNumberFormat="1"/>
    <xf numFmtId="14" fontId="0" fillId="0" borderId="0" xfId="0" applyNumberFormat="1"/>
    <xf numFmtId="0" fontId="3" fillId="0" borderId="0" xfId="0" applyFont="1"/>
    <xf numFmtId="0" fontId="3" fillId="0" borderId="0" xfId="0" applyFont="1" applyAlignment="1">
      <alignment horizontal="center"/>
    </xf>
    <xf numFmtId="10" fontId="3" fillId="0" borderId="0" xfId="0" applyNumberFormat="1" applyFont="1"/>
    <xf numFmtId="0" fontId="0" fillId="9" borderId="0" xfId="0" applyFill="1" applyAlignment="1">
      <alignment horizontal="right"/>
    </xf>
    <xf numFmtId="49" fontId="5" fillId="10" borderId="10" xfId="0" applyNumberFormat="1" applyFont="1" applyFill="1" applyBorder="1" applyAlignment="1">
      <alignment horizontal="left"/>
    </xf>
    <xf numFmtId="49" fontId="5" fillId="9" borderId="2" xfId="0" applyNumberFormat="1" applyFont="1" applyFill="1" applyBorder="1" applyAlignment="1">
      <alignment horizontal="left"/>
    </xf>
    <xf numFmtId="0" fontId="9" fillId="4" borderId="5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 wrapText="1"/>
    </xf>
    <xf numFmtId="0" fontId="4" fillId="13" borderId="8" xfId="0" applyFont="1" applyFill="1" applyBorder="1"/>
    <xf numFmtId="0" fontId="7" fillId="13" borderId="8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 vertical="center"/>
    </xf>
    <xf numFmtId="0" fontId="4" fillId="14" borderId="5" xfId="0" applyFont="1" applyFill="1" applyBorder="1" applyAlignment="1">
      <alignment horizontal="center"/>
    </xf>
    <xf numFmtId="165" fontId="4" fillId="0" borderId="5" xfId="0" applyNumberFormat="1" applyFont="1" applyBorder="1" applyAlignment="1">
      <alignment horizontal="center"/>
    </xf>
    <xf numFmtId="20" fontId="4" fillId="0" borderId="8" xfId="0" applyNumberFormat="1" applyFont="1" applyBorder="1" applyAlignment="1">
      <alignment horizontal="center"/>
    </xf>
    <xf numFmtId="20" fontId="4" fillId="0" borderId="5" xfId="0" applyNumberFormat="1" applyFont="1" applyBorder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14" borderId="8" xfId="0" applyFont="1" applyFill="1" applyBorder="1" applyAlignment="1">
      <alignment horizontal="center"/>
    </xf>
    <xf numFmtId="0" fontId="7" fillId="6" borderId="11" xfId="0" applyFont="1" applyFill="1" applyBorder="1" applyAlignment="1">
      <alignment horizontal="center"/>
    </xf>
    <xf numFmtId="0" fontId="7" fillId="6" borderId="13" xfId="0" applyFont="1" applyFill="1" applyBorder="1" applyAlignment="1">
      <alignment horizontal="center"/>
    </xf>
    <xf numFmtId="0" fontId="7" fillId="15" borderId="8" xfId="0" applyFont="1" applyFill="1" applyBorder="1" applyAlignment="1">
      <alignment horizontal="center" vertical="center" wrapText="1"/>
    </xf>
    <xf numFmtId="0" fontId="7" fillId="13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wrapText="1"/>
    </xf>
    <xf numFmtId="0" fontId="4" fillId="14" borderId="8" xfId="0" applyFont="1" applyFill="1" applyBorder="1"/>
    <xf numFmtId="0" fontId="4" fillId="0" borderId="13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1" fontId="0" fillId="9" borderId="0" xfId="0" applyNumberFormat="1" applyFill="1"/>
    <xf numFmtId="0" fontId="4" fillId="9" borderId="0" xfId="0" applyFont="1" applyFill="1" applyAlignment="1">
      <alignment horizontal="left" wrapText="1"/>
    </xf>
    <xf numFmtId="0" fontId="4" fillId="9" borderId="0" xfId="0" applyFont="1" applyFill="1" applyAlignment="1">
      <alignment horizontal="right" wrapText="1"/>
    </xf>
    <xf numFmtId="0" fontId="4" fillId="11" borderId="0" xfId="0" applyFont="1" applyFill="1" applyAlignment="1">
      <alignment horizontal="right" wrapText="1"/>
    </xf>
    <xf numFmtId="0" fontId="4" fillId="9" borderId="0" xfId="0" applyFont="1" applyFill="1" applyAlignment="1">
      <alignment horizontal="left" vertical="center" wrapText="1"/>
    </xf>
    <xf numFmtId="0" fontId="0" fillId="16" borderId="0" xfId="0" applyFill="1"/>
    <xf numFmtId="0" fontId="0" fillId="16" borderId="14" xfId="0" applyFill="1" applyBorder="1"/>
    <xf numFmtId="1" fontId="0" fillId="16" borderId="0" xfId="0" applyNumberFormat="1" applyFill="1"/>
    <xf numFmtId="49" fontId="10" fillId="0" borderId="15" xfId="0" applyNumberFormat="1" applyFont="1" applyBorder="1" applyAlignment="1">
      <alignment horizontal="center"/>
    </xf>
    <xf numFmtId="49" fontId="11" fillId="3" borderId="16" xfId="0" applyNumberFormat="1" applyFont="1" applyFill="1" applyBorder="1" applyAlignment="1">
      <alignment horizontal="left"/>
    </xf>
    <xf numFmtId="49" fontId="10" fillId="17" borderId="15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18" borderId="0" xfId="0" applyFill="1"/>
    <xf numFmtId="0" fontId="4" fillId="11" borderId="0" xfId="0" applyFont="1" applyFill="1" applyAlignment="1">
      <alignment horizontal="left" wrapText="1"/>
    </xf>
    <xf numFmtId="0" fontId="4" fillId="11" borderId="0" xfId="0" applyFont="1" applyFill="1" applyAlignment="1">
      <alignment horizontal="center" wrapText="1"/>
    </xf>
    <xf numFmtId="0" fontId="8" fillId="11" borderId="0" xfId="0" applyFont="1" applyFill="1" applyAlignment="1">
      <alignment horizontal="center" wrapText="1"/>
    </xf>
    <xf numFmtId="0" fontId="0" fillId="19" borderId="0" xfId="0" applyFill="1"/>
    <xf numFmtId="0" fontId="12" fillId="19" borderId="0" xfId="0" applyFont="1" applyFill="1"/>
    <xf numFmtId="0" fontId="7" fillId="6" borderId="12" xfId="0" applyFont="1" applyFill="1" applyBorder="1" applyAlignment="1">
      <alignment horizontal="center"/>
    </xf>
    <xf numFmtId="0" fontId="0" fillId="0" borderId="12" xfId="0" applyBorder="1"/>
    <xf numFmtId="0" fontId="7" fillId="6" borderId="8" xfId="0" applyFont="1" applyFill="1" applyBorder="1" applyAlignment="1">
      <alignment horizontal="center"/>
    </xf>
    <xf numFmtId="0" fontId="0" fillId="0" borderId="13" xfId="0" applyBorder="1"/>
    <xf numFmtId="0" fontId="7" fillId="13" borderId="8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/>
    </xf>
    <xf numFmtId="0" fontId="7" fillId="5" borderId="11" xfId="0" applyFont="1" applyFill="1" applyBorder="1" applyAlignment="1">
      <alignment horizontal="center"/>
    </xf>
    <xf numFmtId="0" fontId="7" fillId="13" borderId="8" xfId="0" applyFont="1" applyFill="1" applyBorder="1" applyAlignment="1">
      <alignment horizont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niquely_mapped"/>
      <sheetName val="Conversion_rate"/>
      <sheetName val="Conversion_rate_query"/>
      <sheetName val="Primer_index_available"/>
      <sheetName val="Index_primers_NISC_run1"/>
      <sheetName val="Samples_NISC_run1"/>
      <sheetName val="Index_primers_NISC_run2"/>
      <sheetName val="Hybs_April_2025"/>
      <sheetName val="Hybs_July_2025"/>
    </sheetNames>
    <sheetDataSet>
      <sheetData sheetId="0"/>
      <sheetData sheetId="1"/>
      <sheetData sheetId="2">
        <row r="1">
          <cell r="A1" t="str">
            <v>sample</v>
          </cell>
          <cell r="B1" t="str">
            <v>hg19, excluding chrM</v>
          </cell>
        </row>
        <row r="2">
          <cell r="A2" t="str">
            <v>V1_S1</v>
          </cell>
          <cell r="B2">
            <v>5.45E-3</v>
          </cell>
        </row>
        <row r="3">
          <cell r="A3" t="str">
            <v>V1_S2</v>
          </cell>
          <cell r="B3">
            <v>3.6099999999999999E-3</v>
          </cell>
        </row>
        <row r="4">
          <cell r="A4" t="str">
            <v>V1_S3</v>
          </cell>
          <cell r="B4">
            <v>2.7299999999999998E-3</v>
          </cell>
        </row>
        <row r="5">
          <cell r="A5" t="str">
            <v>V1_S4</v>
          </cell>
          <cell r="B5">
            <v>3.0100000000000001E-3</v>
          </cell>
        </row>
        <row r="6">
          <cell r="A6" t="str">
            <v>V1_S5</v>
          </cell>
          <cell r="B6">
            <v>3.1199999999999999E-3</v>
          </cell>
        </row>
        <row r="7">
          <cell r="A7" t="str">
            <v>V1_S6</v>
          </cell>
          <cell r="B7">
            <v>2.8700000000000002E-3</v>
          </cell>
        </row>
        <row r="8">
          <cell r="A8" t="str">
            <v>V1_S7</v>
          </cell>
          <cell r="B8">
            <v>8.5199999999999998E-3</v>
          </cell>
        </row>
        <row r="9">
          <cell r="A9" t="str">
            <v>V1_S8</v>
          </cell>
          <cell r="B9">
            <v>2.0480000000000002E-2</v>
          </cell>
        </row>
        <row r="10">
          <cell r="A10" t="str">
            <v>V2_S1</v>
          </cell>
          <cell r="B10">
            <v>6.3200000000000001E-3</v>
          </cell>
        </row>
        <row r="11">
          <cell r="A11" t="str">
            <v>V2_S2</v>
          </cell>
          <cell r="B11">
            <v>4.5100000000000001E-3</v>
          </cell>
        </row>
        <row r="12">
          <cell r="A12" t="str">
            <v>V2_S3</v>
          </cell>
          <cell r="B12">
            <v>2.0029999999999999E-2</v>
          </cell>
        </row>
        <row r="13">
          <cell r="A13" t="str">
            <v>V2_S4</v>
          </cell>
          <cell r="B13">
            <v>5.4999999999999997E-3</v>
          </cell>
        </row>
        <row r="14">
          <cell r="A14" t="str">
            <v>V2_S5</v>
          </cell>
          <cell r="B14">
            <v>5.9300000000000004E-3</v>
          </cell>
        </row>
        <row r="15">
          <cell r="A15" t="str">
            <v>V2_S6</v>
          </cell>
          <cell r="B15">
            <v>1.8679999999999999E-2</v>
          </cell>
        </row>
        <row r="16">
          <cell r="A16" t="str">
            <v>V2_S7</v>
          </cell>
          <cell r="B16">
            <v>6.1900000000000002E-3</v>
          </cell>
        </row>
        <row r="17">
          <cell r="A17" t="str">
            <v>V2_S8</v>
          </cell>
          <cell r="B17">
            <v>6.9899999999999997E-3</v>
          </cell>
        </row>
        <row r="18">
          <cell r="A18" t="str">
            <v>V3_S1</v>
          </cell>
          <cell r="B18">
            <v>8.5100000000000002E-3</v>
          </cell>
        </row>
        <row r="19">
          <cell r="A19" t="str">
            <v>V3_S2</v>
          </cell>
          <cell r="B19">
            <v>1.332E-2</v>
          </cell>
        </row>
        <row r="20">
          <cell r="A20" t="str">
            <v>V3_S3</v>
          </cell>
          <cell r="B20">
            <v>6.6E-3</v>
          </cell>
        </row>
        <row r="21">
          <cell r="A21" t="str">
            <v>V3_S4</v>
          </cell>
          <cell r="B21">
            <v>8.1099999999999992E-3</v>
          </cell>
        </row>
        <row r="22">
          <cell r="A22" t="str">
            <v>V3_S5</v>
          </cell>
          <cell r="B22">
            <v>7.9500000000000005E-3</v>
          </cell>
        </row>
        <row r="23">
          <cell r="A23" t="str">
            <v>V3_S6</v>
          </cell>
          <cell r="B23">
            <v>8.6899999999999998E-3</v>
          </cell>
        </row>
        <row r="24">
          <cell r="A24" t="str">
            <v>V3_S7</v>
          </cell>
          <cell r="B24">
            <v>1.06E-2</v>
          </cell>
        </row>
        <row r="25">
          <cell r="A25" t="str">
            <v>V3_S8</v>
          </cell>
          <cell r="B25">
            <v>8.6400000000000001E-3</v>
          </cell>
        </row>
        <row r="26">
          <cell r="A26" t="str">
            <v>V4_S1</v>
          </cell>
          <cell r="B26">
            <v>7.6299999999999996E-3</v>
          </cell>
        </row>
        <row r="27">
          <cell r="A27" t="str">
            <v>V4_S2</v>
          </cell>
          <cell r="B27">
            <v>8.6E-3</v>
          </cell>
        </row>
        <row r="28">
          <cell r="A28" t="str">
            <v>V4_S3</v>
          </cell>
          <cell r="B28">
            <v>9.7400000000000004E-3</v>
          </cell>
        </row>
        <row r="29">
          <cell r="A29" t="str">
            <v>V4_S4</v>
          </cell>
          <cell r="B29">
            <v>7.1000000000000004E-3</v>
          </cell>
        </row>
        <row r="30">
          <cell r="A30" t="str">
            <v>V4_S5</v>
          </cell>
          <cell r="B30">
            <v>8.7100000000000007E-3</v>
          </cell>
        </row>
        <row r="31">
          <cell r="A31" t="str">
            <v>V4_S6</v>
          </cell>
          <cell r="B31">
            <v>8.0999999999999996E-3</v>
          </cell>
        </row>
        <row r="32">
          <cell r="A32" t="str">
            <v>V4_S7</v>
          </cell>
          <cell r="B32">
            <v>1.5089999999999999E-2</v>
          </cell>
        </row>
        <row r="33">
          <cell r="A33" t="str">
            <v>V4_S8</v>
          </cell>
          <cell r="B33">
            <v>3.7330000000000002E-2</v>
          </cell>
        </row>
        <row r="34">
          <cell r="A34" t="str">
            <v>V5_S1</v>
          </cell>
          <cell r="B34">
            <v>7.9799999999999992E-3</v>
          </cell>
        </row>
        <row r="35">
          <cell r="A35" t="str">
            <v>V5_S2</v>
          </cell>
          <cell r="B35">
            <v>1.055E-2</v>
          </cell>
        </row>
        <row r="36">
          <cell r="A36" t="str">
            <v>V5_S3</v>
          </cell>
          <cell r="B36">
            <v>5.5900000000000004E-3</v>
          </cell>
        </row>
        <row r="37">
          <cell r="A37" t="str">
            <v>V5_S4</v>
          </cell>
          <cell r="B37">
            <v>7.1500000000000001E-3</v>
          </cell>
        </row>
        <row r="38">
          <cell r="A38" t="str">
            <v>V5_S5</v>
          </cell>
          <cell r="B38">
            <v>6.7499999999999999E-3</v>
          </cell>
        </row>
        <row r="39">
          <cell r="A39" t="str">
            <v>V5_S6</v>
          </cell>
          <cell r="B39">
            <v>5.1000000000000004E-3</v>
          </cell>
        </row>
        <row r="40">
          <cell r="A40" t="str">
            <v>V5_S7</v>
          </cell>
          <cell r="B40">
            <v>4.5199999999999997E-3</v>
          </cell>
        </row>
        <row r="41">
          <cell r="A41" t="str">
            <v>V5_S8</v>
          </cell>
          <cell r="B41">
            <v>5.8999999999999999E-3</v>
          </cell>
        </row>
        <row r="42">
          <cell r="A42" t="str">
            <v>V6_S1</v>
          </cell>
          <cell r="B42">
            <v>7.3499999999999998E-3</v>
          </cell>
        </row>
        <row r="43">
          <cell r="A43" t="str">
            <v>V6_S2</v>
          </cell>
          <cell r="B43">
            <v>3.8700000000000002E-3</v>
          </cell>
        </row>
        <row r="44">
          <cell r="A44" t="str">
            <v>V6_S3</v>
          </cell>
          <cell r="B44">
            <v>7.6600000000000001E-3</v>
          </cell>
        </row>
        <row r="45">
          <cell r="A45" t="str">
            <v>V6_S4</v>
          </cell>
          <cell r="B45">
            <v>6.8599999999999998E-3</v>
          </cell>
        </row>
        <row r="46">
          <cell r="A46" t="str">
            <v>V6_S5</v>
          </cell>
          <cell r="B46">
            <v>1.124E-2</v>
          </cell>
        </row>
        <row r="47">
          <cell r="A47" t="str">
            <v>V6_S6</v>
          </cell>
          <cell r="B47">
            <v>8.2400000000000008E-3</v>
          </cell>
        </row>
        <row r="48">
          <cell r="A48" t="str">
            <v>V6_S7</v>
          </cell>
          <cell r="B48">
            <v>2.649E-2</v>
          </cell>
        </row>
        <row r="49">
          <cell r="A49" t="str">
            <v>V6_S8</v>
          </cell>
          <cell r="B49">
            <v>9.92E-3</v>
          </cell>
        </row>
        <row r="50">
          <cell r="A50" t="str">
            <v>V6_S9</v>
          </cell>
          <cell r="B50">
            <v>1.1560000000000001E-2</v>
          </cell>
        </row>
        <row r="51">
          <cell r="A51" t="str">
            <v>V6_S10</v>
          </cell>
          <cell r="B51">
            <v>5.4099999999999999E-3</v>
          </cell>
        </row>
        <row r="52">
          <cell r="A52" t="str">
            <v>V6_S11</v>
          </cell>
          <cell r="B52">
            <v>8.3499999999999998E-3</v>
          </cell>
        </row>
        <row r="53">
          <cell r="A53" t="str">
            <v>V6_S12</v>
          </cell>
          <cell r="B53">
            <v>3.5500000000000002E-3</v>
          </cell>
        </row>
        <row r="54">
          <cell r="A54" t="str">
            <v>V6_S13</v>
          </cell>
          <cell r="B54">
            <v>4.2500000000000003E-3</v>
          </cell>
        </row>
        <row r="55">
          <cell r="A55" t="str">
            <v>V6_S14</v>
          </cell>
          <cell r="B55">
            <v>6.1999999999999998E-3</v>
          </cell>
        </row>
        <row r="56">
          <cell r="A56" t="str">
            <v>V6_S15</v>
          </cell>
          <cell r="B56">
            <v>7.8399999999999997E-3</v>
          </cell>
        </row>
        <row r="57">
          <cell r="A57" t="str">
            <v>V6_S16</v>
          </cell>
          <cell r="B57">
            <v>5.7400000000000003E-3</v>
          </cell>
        </row>
        <row r="58">
          <cell r="A58" t="str">
            <v>V7_S1</v>
          </cell>
          <cell r="B58">
            <v>3.3300000000000001E-3</v>
          </cell>
        </row>
        <row r="59">
          <cell r="A59" t="str">
            <v>V7_S2</v>
          </cell>
          <cell r="B59">
            <v>2.3999999999999998E-3</v>
          </cell>
        </row>
        <row r="60">
          <cell r="A60" t="str">
            <v>V7_S3</v>
          </cell>
          <cell r="B60">
            <v>3.14E-3</v>
          </cell>
        </row>
        <row r="61">
          <cell r="A61" t="str">
            <v>V7_S4</v>
          </cell>
          <cell r="B61">
            <v>6.8599999999999998E-3</v>
          </cell>
        </row>
        <row r="62">
          <cell r="A62" t="str">
            <v>V7_S5</v>
          </cell>
          <cell r="B62">
            <v>1.0279999999999999E-2</v>
          </cell>
        </row>
        <row r="63">
          <cell r="A63" t="str">
            <v>V7_S6</v>
          </cell>
          <cell r="B63">
            <v>1.196E-2</v>
          </cell>
        </row>
        <row r="64">
          <cell r="A64" t="str">
            <v>V7_S7</v>
          </cell>
          <cell r="B64">
            <v>2.8809999999999999E-2</v>
          </cell>
        </row>
        <row r="65">
          <cell r="A65" t="str">
            <v>V7_S8</v>
          </cell>
          <cell r="B65">
            <v>9.1900000000000003E-3</v>
          </cell>
        </row>
        <row r="66">
          <cell r="A66" t="str">
            <v>V7_S9</v>
          </cell>
          <cell r="B66">
            <v>6.4099999999999999E-3</v>
          </cell>
        </row>
        <row r="67">
          <cell r="A67" t="str">
            <v>V7_S10</v>
          </cell>
          <cell r="B67">
            <v>7.7200000000000003E-3</v>
          </cell>
        </row>
        <row r="68">
          <cell r="A68" t="str">
            <v>V7_S11</v>
          </cell>
          <cell r="B68">
            <v>6.0600000000000003E-3</v>
          </cell>
        </row>
        <row r="69">
          <cell r="A69" t="str">
            <v>V7_S12</v>
          </cell>
          <cell r="B69">
            <v>6.4599999999999996E-3</v>
          </cell>
        </row>
        <row r="70">
          <cell r="A70" t="str">
            <v>V7_S13</v>
          </cell>
          <cell r="B70">
            <v>1.095E-2</v>
          </cell>
        </row>
        <row r="71">
          <cell r="A71" t="str">
            <v>V7_S14</v>
          </cell>
          <cell r="B71">
            <v>4.4200000000000003E-3</v>
          </cell>
        </row>
        <row r="72">
          <cell r="A72" t="str">
            <v>V7_S15</v>
          </cell>
          <cell r="B72">
            <v>9.6799999999999994E-3</v>
          </cell>
        </row>
        <row r="73">
          <cell r="A73" t="str">
            <v>V7_S16</v>
          </cell>
          <cell r="B73">
            <v>5.4299999999999999E-3</v>
          </cell>
        </row>
        <row r="74">
          <cell r="A74" t="str">
            <v>V8_S1</v>
          </cell>
          <cell r="B74">
            <v>4.7800000000000004E-3</v>
          </cell>
        </row>
        <row r="75">
          <cell r="A75" t="str">
            <v>V8_S2</v>
          </cell>
          <cell r="B75">
            <v>8.0999999999999996E-3</v>
          </cell>
        </row>
        <row r="76">
          <cell r="A76" t="str">
            <v>V8_S3</v>
          </cell>
          <cell r="B76">
            <v>5.1999999999999998E-3</v>
          </cell>
        </row>
        <row r="77">
          <cell r="A77" t="str">
            <v>V8_S4</v>
          </cell>
          <cell r="B77">
            <v>7.5799999999999999E-3</v>
          </cell>
        </row>
        <row r="78">
          <cell r="A78" t="str">
            <v>V8_S5</v>
          </cell>
          <cell r="B78">
            <v>4.6499999999999996E-3</v>
          </cell>
        </row>
        <row r="79">
          <cell r="A79" t="str">
            <v>V8_S6</v>
          </cell>
          <cell r="B79">
            <v>3.7499999999999999E-3</v>
          </cell>
        </row>
        <row r="80">
          <cell r="A80" t="str">
            <v>V8_S7</v>
          </cell>
          <cell r="B80">
            <v>1.1089999999999999E-2</v>
          </cell>
        </row>
        <row r="81">
          <cell r="A81" t="str">
            <v>V8_S8</v>
          </cell>
          <cell r="B81">
            <v>5.1799999999999997E-3</v>
          </cell>
        </row>
        <row r="82">
          <cell r="A82" t="str">
            <v>V8_S9</v>
          </cell>
          <cell r="B82">
            <v>7.45E-3</v>
          </cell>
        </row>
        <row r="83">
          <cell r="A83" t="str">
            <v>V8_S10</v>
          </cell>
          <cell r="B83">
            <v>1.2200000000000001E-2</v>
          </cell>
        </row>
        <row r="84">
          <cell r="A84" t="str">
            <v>V8_S11</v>
          </cell>
          <cell r="B84">
            <v>1.387E-2</v>
          </cell>
        </row>
        <row r="85">
          <cell r="A85" t="str">
            <v>V8_S12</v>
          </cell>
          <cell r="B85">
            <v>8.0099999999999998E-3</v>
          </cell>
        </row>
        <row r="86">
          <cell r="A86" t="str">
            <v>V8_S13</v>
          </cell>
          <cell r="B86">
            <v>4.8999999999999998E-3</v>
          </cell>
        </row>
        <row r="87">
          <cell r="A87" t="str">
            <v>V8_S14</v>
          </cell>
          <cell r="B87">
            <v>1.085E-2</v>
          </cell>
        </row>
        <row r="88">
          <cell r="A88" t="str">
            <v>V8_S15</v>
          </cell>
          <cell r="B88">
            <v>8.9899999999999997E-3</v>
          </cell>
        </row>
        <row r="89">
          <cell r="A89" t="str">
            <v>V8_S16</v>
          </cell>
          <cell r="B89">
            <v>7.6E-3</v>
          </cell>
        </row>
        <row r="90">
          <cell r="A90" t="str">
            <v>V9_S1</v>
          </cell>
          <cell r="B90">
            <v>0.1061</v>
          </cell>
        </row>
        <row r="91">
          <cell r="A91" t="str">
            <v>V9_S2</v>
          </cell>
          <cell r="B91">
            <v>7.8229999999999994E-2</v>
          </cell>
        </row>
        <row r="92">
          <cell r="A92" t="str">
            <v>V9_S3</v>
          </cell>
          <cell r="B92">
            <v>7.6170000000000002E-2</v>
          </cell>
        </row>
        <row r="93">
          <cell r="A93" t="str">
            <v>V9_S4</v>
          </cell>
          <cell r="B93">
            <v>7.7530000000000002E-2</v>
          </cell>
        </row>
        <row r="94">
          <cell r="A94" t="str">
            <v>V9_S5</v>
          </cell>
          <cell r="B94">
            <v>4.3479999999999998E-2</v>
          </cell>
        </row>
        <row r="95">
          <cell r="A95" t="str">
            <v>V9_S6</v>
          </cell>
          <cell r="B95">
            <v>5.1490000000000001E-2</v>
          </cell>
        </row>
        <row r="96">
          <cell r="A96" t="str">
            <v>V9_S7</v>
          </cell>
          <cell r="B96">
            <v>6.3950000000000007E-2</v>
          </cell>
        </row>
        <row r="97">
          <cell r="A97" t="str">
            <v>V9_S8</v>
          </cell>
          <cell r="B97">
            <v>5.8220000000000001E-2</v>
          </cell>
        </row>
        <row r="98">
          <cell r="A98" t="str">
            <v>V9_S9</v>
          </cell>
          <cell r="B98">
            <v>0.20702999999999999</v>
          </cell>
        </row>
        <row r="99">
          <cell r="A99" t="str">
            <v>V9_S10</v>
          </cell>
          <cell r="B99">
            <v>0.22997999999999999</v>
          </cell>
        </row>
        <row r="100">
          <cell r="A100" t="str">
            <v>V9_S11</v>
          </cell>
          <cell r="B100">
            <v>0.21911</v>
          </cell>
        </row>
        <row r="101">
          <cell r="A101" t="str">
            <v>V9_S12</v>
          </cell>
          <cell r="B101">
            <v>0.12873000000000001</v>
          </cell>
        </row>
        <row r="102">
          <cell r="A102" t="str">
            <v>V9_S13</v>
          </cell>
          <cell r="B102">
            <v>0.13747000000000001</v>
          </cell>
        </row>
        <row r="103">
          <cell r="A103" t="str">
            <v>V9_S14</v>
          </cell>
          <cell r="B103">
            <v>0.12439</v>
          </cell>
        </row>
        <row r="104">
          <cell r="A104" t="str">
            <v>V9_S15</v>
          </cell>
          <cell r="B104">
            <v>0.14041000000000001</v>
          </cell>
        </row>
        <row r="105">
          <cell r="A105" t="str">
            <v>V9_S16</v>
          </cell>
          <cell r="B105">
            <v>0.10008</v>
          </cell>
        </row>
        <row r="106">
          <cell r="A106" t="str">
            <v>V10_S1</v>
          </cell>
          <cell r="B106">
            <v>6.5700000000000003E-3</v>
          </cell>
        </row>
        <row r="107">
          <cell r="A107" t="str">
            <v>V10_S2</v>
          </cell>
          <cell r="B107">
            <v>1.0319999999999999E-2</v>
          </cell>
        </row>
        <row r="108">
          <cell r="A108" t="str">
            <v>V10_S3</v>
          </cell>
          <cell r="B108">
            <v>9.7300000000000008E-3</v>
          </cell>
        </row>
        <row r="109">
          <cell r="A109" t="str">
            <v>V10_S4</v>
          </cell>
          <cell r="B109">
            <v>1.374E-2</v>
          </cell>
        </row>
        <row r="110">
          <cell r="A110" t="str">
            <v>V10_S5</v>
          </cell>
          <cell r="B110">
            <v>1.8700000000000001E-2</v>
          </cell>
        </row>
        <row r="111">
          <cell r="A111" t="str">
            <v>V10_S6</v>
          </cell>
          <cell r="B111">
            <v>8.1600000000000006E-3</v>
          </cell>
        </row>
        <row r="112">
          <cell r="A112" t="str">
            <v>V10_S7</v>
          </cell>
          <cell r="B112">
            <v>7.3200000000000001E-3</v>
          </cell>
        </row>
        <row r="113">
          <cell r="A113" t="str">
            <v>V10_S8</v>
          </cell>
          <cell r="B113">
            <v>8.6700000000000006E-3</v>
          </cell>
        </row>
        <row r="114">
          <cell r="A114" t="str">
            <v>V11_S1</v>
          </cell>
          <cell r="B114">
            <v>0.15010000000000001</v>
          </cell>
        </row>
        <row r="115">
          <cell r="A115" t="str">
            <v>V11_S2</v>
          </cell>
          <cell r="B115">
            <v>4.727E-2</v>
          </cell>
        </row>
        <row r="116">
          <cell r="A116" t="str">
            <v>V11_S3</v>
          </cell>
          <cell r="B116">
            <v>6.6610000000000003E-2</v>
          </cell>
        </row>
        <row r="117">
          <cell r="A117" t="str">
            <v>V11_S4</v>
          </cell>
          <cell r="B117">
            <v>6.2560000000000004E-2</v>
          </cell>
        </row>
        <row r="118">
          <cell r="A118" t="str">
            <v>V11_S5</v>
          </cell>
          <cell r="B118">
            <v>4.1669999999999999E-2</v>
          </cell>
        </row>
        <row r="119">
          <cell r="A119" t="str">
            <v>V11_S6</v>
          </cell>
          <cell r="B119">
            <v>3.5950000000000003E-2</v>
          </cell>
        </row>
        <row r="120">
          <cell r="A120" t="str">
            <v>V11_S8</v>
          </cell>
          <cell r="B120">
            <v>3.6949999999999997E-2</v>
          </cell>
        </row>
        <row r="121">
          <cell r="A121" t="str">
            <v>V11_S9</v>
          </cell>
          <cell r="B121">
            <v>4.1059999999999999E-2</v>
          </cell>
        </row>
        <row r="122">
          <cell r="A122" t="str">
            <v>V11_S10</v>
          </cell>
          <cell r="B122">
            <v>4.8390000000000002E-2</v>
          </cell>
        </row>
        <row r="123">
          <cell r="A123" t="str">
            <v>V11_S11</v>
          </cell>
          <cell r="B123">
            <v>5.5820000000000002E-2</v>
          </cell>
        </row>
        <row r="124">
          <cell r="A124" t="str">
            <v>V11_S12</v>
          </cell>
          <cell r="B124">
            <v>2.2710000000000001E-2</v>
          </cell>
        </row>
        <row r="125">
          <cell r="A125" t="str">
            <v>V11_S13</v>
          </cell>
          <cell r="B125">
            <v>6.9239999999999996E-2</v>
          </cell>
        </row>
        <row r="126">
          <cell r="A126" t="str">
            <v>V11_S14</v>
          </cell>
          <cell r="B126">
            <v>8.2439999999999999E-2</v>
          </cell>
        </row>
        <row r="127">
          <cell r="A127" t="str">
            <v>V11_S15</v>
          </cell>
          <cell r="B127">
            <v>3.0939999999999999E-2</v>
          </cell>
        </row>
        <row r="128">
          <cell r="A128" t="str">
            <v>V11_S16</v>
          </cell>
          <cell r="B128">
            <v>5.0650000000000001E-2</v>
          </cell>
        </row>
        <row r="129">
          <cell r="A129" t="str">
            <v>V12_S1</v>
          </cell>
          <cell r="B129">
            <v>7.7999999999999996E-3</v>
          </cell>
        </row>
        <row r="130">
          <cell r="A130" t="str">
            <v>V12_S2</v>
          </cell>
          <cell r="B130">
            <v>1.261E-2</v>
          </cell>
        </row>
        <row r="131">
          <cell r="A131" t="str">
            <v>V12_S3</v>
          </cell>
          <cell r="B131">
            <v>1.439E-2</v>
          </cell>
        </row>
        <row r="132">
          <cell r="A132" t="str">
            <v>V12_S4</v>
          </cell>
          <cell r="B132">
            <v>5.3600000000000002E-2</v>
          </cell>
        </row>
        <row r="133">
          <cell r="A133" t="str">
            <v>V12_S5</v>
          </cell>
          <cell r="B133">
            <v>5.8299999999999998E-2</v>
          </cell>
        </row>
        <row r="134">
          <cell r="A134" t="str">
            <v>V12_S6</v>
          </cell>
          <cell r="B134">
            <v>7.0129999999999998E-2</v>
          </cell>
        </row>
        <row r="135">
          <cell r="A135" t="str">
            <v>V12_S7</v>
          </cell>
          <cell r="B135">
            <v>4.6240000000000003E-2</v>
          </cell>
        </row>
        <row r="136">
          <cell r="A136" t="str">
            <v>V12_S8</v>
          </cell>
          <cell r="B136">
            <v>6.8709999999999993E-2</v>
          </cell>
        </row>
        <row r="137">
          <cell r="A137" t="str">
            <v>V12_S9</v>
          </cell>
          <cell r="B137">
            <v>3.8830000000000003E-2</v>
          </cell>
        </row>
        <row r="138">
          <cell r="A138" t="str">
            <v>V12_S10</v>
          </cell>
          <cell r="B138">
            <v>0.12486</v>
          </cell>
        </row>
        <row r="139">
          <cell r="A139" t="str">
            <v>V12_S11</v>
          </cell>
          <cell r="B139">
            <v>4.8280000000000003E-2</v>
          </cell>
        </row>
        <row r="140">
          <cell r="A140" t="str">
            <v>V12_S12</v>
          </cell>
          <cell r="B140">
            <v>4.4299999999999999E-2</v>
          </cell>
        </row>
        <row r="141">
          <cell r="A141" t="str">
            <v>V12_S13</v>
          </cell>
          <cell r="B141">
            <v>3.7969999999999997E-2</v>
          </cell>
        </row>
        <row r="142">
          <cell r="A142" t="str">
            <v>V12_S14</v>
          </cell>
          <cell r="B142">
            <v>2.9309999999999999E-2</v>
          </cell>
        </row>
        <row r="143">
          <cell r="A143" t="str">
            <v>V12_S15</v>
          </cell>
          <cell r="B143">
            <v>3.3930000000000002E-2</v>
          </cell>
        </row>
        <row r="144">
          <cell r="A144" t="str">
            <v>V12_S16</v>
          </cell>
          <cell r="B144">
            <v>4.761E-2</v>
          </cell>
        </row>
        <row r="145">
          <cell r="A145" t="str">
            <v>V13_S1</v>
          </cell>
          <cell r="B145">
            <v>1.4880000000000001E-2</v>
          </cell>
        </row>
        <row r="146">
          <cell r="A146" t="str">
            <v>V13_S2</v>
          </cell>
          <cell r="B146">
            <v>1.5140000000000001E-2</v>
          </cell>
        </row>
        <row r="147">
          <cell r="A147" t="str">
            <v>V13_S3</v>
          </cell>
          <cell r="B147">
            <v>1.498E-2</v>
          </cell>
        </row>
        <row r="148">
          <cell r="A148" t="str">
            <v>V13_S4</v>
          </cell>
          <cell r="B148">
            <v>1.044E-2</v>
          </cell>
        </row>
        <row r="149">
          <cell r="A149" t="str">
            <v>V13_S5</v>
          </cell>
          <cell r="B149">
            <v>8.8500000000000002E-3</v>
          </cell>
        </row>
        <row r="150">
          <cell r="A150" t="str">
            <v>V13_S7</v>
          </cell>
          <cell r="B150">
            <v>3.1060000000000001E-2</v>
          </cell>
        </row>
        <row r="151">
          <cell r="A151" t="str">
            <v>V13_S8</v>
          </cell>
          <cell r="B151">
            <v>2.2040000000000001E-2</v>
          </cell>
        </row>
        <row r="152">
          <cell r="A152" t="str">
            <v>V13_S9</v>
          </cell>
          <cell r="B152">
            <v>2.223E-2</v>
          </cell>
        </row>
        <row r="153">
          <cell r="A153" t="str">
            <v>V13_S10</v>
          </cell>
          <cell r="B153">
            <v>1.1820000000000001E-2</v>
          </cell>
        </row>
        <row r="154">
          <cell r="A154" t="str">
            <v>V13_S11</v>
          </cell>
          <cell r="B154">
            <v>1.0160000000000001E-2</v>
          </cell>
        </row>
        <row r="155">
          <cell r="A155" t="str">
            <v>V13_S12</v>
          </cell>
          <cell r="B155">
            <v>8.0999999999999996E-3</v>
          </cell>
        </row>
        <row r="156">
          <cell r="A156" t="str">
            <v>V14_S1</v>
          </cell>
          <cell r="B156">
            <v>3.6490000000000002E-2</v>
          </cell>
        </row>
        <row r="157">
          <cell r="A157" t="str">
            <v>V14_S2</v>
          </cell>
          <cell r="B157">
            <v>3.4770000000000002E-2</v>
          </cell>
        </row>
        <row r="158">
          <cell r="A158" t="str">
            <v>V14_S3</v>
          </cell>
          <cell r="B158">
            <v>4.4850000000000001E-2</v>
          </cell>
        </row>
        <row r="159">
          <cell r="A159" t="str">
            <v>V14_S4</v>
          </cell>
          <cell r="B159">
            <v>4.3929999999999997E-2</v>
          </cell>
        </row>
        <row r="160">
          <cell r="A160" t="str">
            <v>V14_S5</v>
          </cell>
          <cell r="B160">
            <v>3.32E-2</v>
          </cell>
        </row>
        <row r="161">
          <cell r="A161" t="str">
            <v>V14_S6</v>
          </cell>
          <cell r="B161">
            <v>2.402E-2</v>
          </cell>
        </row>
        <row r="162">
          <cell r="A162" t="str">
            <v>V14_S7</v>
          </cell>
          <cell r="B162">
            <v>3.2719999999999999E-2</v>
          </cell>
        </row>
        <row r="163">
          <cell r="A163" t="str">
            <v>V14_S8</v>
          </cell>
          <cell r="B163">
            <v>2.7810000000000001E-2</v>
          </cell>
        </row>
        <row r="164">
          <cell r="A164" t="str">
            <v>V14_S9</v>
          </cell>
          <cell r="B164">
            <v>3.6729999999999999E-2</v>
          </cell>
        </row>
        <row r="165">
          <cell r="A165" t="str">
            <v>V14_S10</v>
          </cell>
          <cell r="B165">
            <v>2.4279999999999999E-2</v>
          </cell>
        </row>
        <row r="166">
          <cell r="A166" t="str">
            <v>V14_S11</v>
          </cell>
          <cell r="B166">
            <v>2.2380000000000001E-2</v>
          </cell>
        </row>
        <row r="167">
          <cell r="A167" t="str">
            <v>V14_S12</v>
          </cell>
          <cell r="B167">
            <v>2.0580000000000001E-2</v>
          </cell>
        </row>
        <row r="168">
          <cell r="A168" t="str">
            <v>V15_S1</v>
          </cell>
          <cell r="B168">
            <v>3.058E-2</v>
          </cell>
        </row>
        <row r="169">
          <cell r="A169" t="str">
            <v>V15_S4</v>
          </cell>
          <cell r="B169">
            <v>7.1300000000000001E-3</v>
          </cell>
        </row>
        <row r="170">
          <cell r="A170" t="str">
            <v>V15_S5</v>
          </cell>
          <cell r="B170">
            <v>1.1429999999999999E-2</v>
          </cell>
        </row>
        <row r="171">
          <cell r="A171" t="str">
            <v>V15_S6</v>
          </cell>
          <cell r="B171">
            <v>1.183E-2</v>
          </cell>
        </row>
        <row r="172">
          <cell r="A172" t="str">
            <v>V15_S8</v>
          </cell>
          <cell r="B172">
            <v>7.5599999999999999E-3</v>
          </cell>
        </row>
        <row r="173">
          <cell r="A173" t="str">
            <v>V15_S7</v>
          </cell>
          <cell r="B173">
            <v>1.0200000000000001E-2</v>
          </cell>
        </row>
        <row r="174">
          <cell r="A174" t="str">
            <v>V15_S9</v>
          </cell>
          <cell r="B174">
            <v>7.6299999999999996E-3</v>
          </cell>
        </row>
        <row r="175">
          <cell r="A175" t="str">
            <v>V15_S10</v>
          </cell>
          <cell r="B175">
            <v>5.62E-3</v>
          </cell>
        </row>
        <row r="176">
          <cell r="A176" t="str">
            <v>V15_S11</v>
          </cell>
          <cell r="B176">
            <v>9.8499999999999994E-3</v>
          </cell>
        </row>
        <row r="177">
          <cell r="A177" t="str">
            <v>V15_S12</v>
          </cell>
          <cell r="B177">
            <v>9.5499999999999995E-3</v>
          </cell>
        </row>
        <row r="178">
          <cell r="A178" t="str">
            <v>V16_S1</v>
          </cell>
          <cell r="B178">
            <v>3.2009999999999997E-2</v>
          </cell>
        </row>
        <row r="179">
          <cell r="A179" t="str">
            <v>V16_S3</v>
          </cell>
          <cell r="B179">
            <v>1.6979999999999999E-2</v>
          </cell>
        </row>
        <row r="180">
          <cell r="A180" t="str">
            <v>V16_S4</v>
          </cell>
          <cell r="B180">
            <v>1.306E-2</v>
          </cell>
        </row>
        <row r="181">
          <cell r="A181" t="str">
            <v>V16_S5</v>
          </cell>
          <cell r="B181">
            <v>1.6250000000000001E-2</v>
          </cell>
        </row>
        <row r="182">
          <cell r="A182" t="str">
            <v>V16_S6</v>
          </cell>
          <cell r="B182">
            <v>2.198E-2</v>
          </cell>
        </row>
        <row r="183">
          <cell r="A183" t="str">
            <v>V16_S7</v>
          </cell>
          <cell r="B183">
            <v>2.7529999999999999E-2</v>
          </cell>
        </row>
        <row r="184">
          <cell r="A184" t="str">
            <v>V16_S9</v>
          </cell>
          <cell r="B184">
            <v>1.746E-2</v>
          </cell>
        </row>
        <row r="185">
          <cell r="A185" t="str">
            <v>V16_S10</v>
          </cell>
          <cell r="B185">
            <v>2.315E-2</v>
          </cell>
        </row>
        <row r="186">
          <cell r="A186" t="str">
            <v>V16_S11</v>
          </cell>
          <cell r="B186">
            <v>1.66E-2</v>
          </cell>
        </row>
        <row r="187">
          <cell r="A187" t="str">
            <v>V16_S12</v>
          </cell>
          <cell r="B187">
            <v>2.23E-2</v>
          </cell>
        </row>
        <row r="188">
          <cell r="A188" t="str">
            <v>V17_S1</v>
          </cell>
          <cell r="B188">
            <v>3.3410000000000002E-2</v>
          </cell>
        </row>
        <row r="189">
          <cell r="A189" t="str">
            <v>V17_S2</v>
          </cell>
          <cell r="B189">
            <v>3.0179999999999998E-2</v>
          </cell>
        </row>
        <row r="190">
          <cell r="A190" t="str">
            <v>V17_S3</v>
          </cell>
          <cell r="B190">
            <v>1.6799999999999999E-2</v>
          </cell>
        </row>
        <row r="191">
          <cell r="A191" t="str">
            <v>V17_S5</v>
          </cell>
          <cell r="B191">
            <v>2.6669999999999999E-2</v>
          </cell>
        </row>
        <row r="192">
          <cell r="A192" t="str">
            <v>V17_S6</v>
          </cell>
          <cell r="B192">
            <v>2.9600000000000001E-2</v>
          </cell>
        </row>
        <row r="193">
          <cell r="A193" t="str">
            <v>V17_S8</v>
          </cell>
          <cell r="B193">
            <v>1.389E-2</v>
          </cell>
        </row>
        <row r="194">
          <cell r="A194" t="str">
            <v>V17_S16</v>
          </cell>
          <cell r="B194">
            <v>1.051E-2</v>
          </cell>
        </row>
        <row r="195">
          <cell r="A195" t="str">
            <v>V17_S18</v>
          </cell>
          <cell r="B195">
            <v>1.17E-2</v>
          </cell>
        </row>
        <row r="196">
          <cell r="A196" t="str">
            <v>V17_S19</v>
          </cell>
          <cell r="B196">
            <v>8.6899999999999998E-3</v>
          </cell>
        </row>
        <row r="197">
          <cell r="A197" t="str">
            <v>V17_S20</v>
          </cell>
          <cell r="B197">
            <v>2.6159999999999999E-2</v>
          </cell>
        </row>
        <row r="198">
          <cell r="A198" t="str">
            <v>V19_S1</v>
          </cell>
          <cell r="B198">
            <v>2.3300000000000001E-2</v>
          </cell>
        </row>
        <row r="199">
          <cell r="A199" t="str">
            <v>V19_S2</v>
          </cell>
          <cell r="B199">
            <v>2.819E-2</v>
          </cell>
        </row>
        <row r="200">
          <cell r="A200" t="str">
            <v>V19_S3</v>
          </cell>
          <cell r="B200">
            <v>3.5589999999999997E-2</v>
          </cell>
        </row>
        <row r="201">
          <cell r="A201" t="str">
            <v>V19_S5</v>
          </cell>
          <cell r="B201">
            <v>2.3779999999999999E-2</v>
          </cell>
        </row>
        <row r="202">
          <cell r="A202" t="str">
            <v>V19_S6</v>
          </cell>
          <cell r="B202">
            <v>3.3119999999999997E-2</v>
          </cell>
        </row>
        <row r="203">
          <cell r="A203" t="str">
            <v>V19_S7</v>
          </cell>
          <cell r="B203">
            <v>2.0250000000000001E-2</v>
          </cell>
        </row>
        <row r="204">
          <cell r="A204" t="str">
            <v>V19_S9</v>
          </cell>
          <cell r="B204">
            <v>2.222E-2</v>
          </cell>
        </row>
        <row r="205">
          <cell r="A205" t="str">
            <v>V19_S10</v>
          </cell>
          <cell r="B205">
            <v>2.6509999999999999E-2</v>
          </cell>
        </row>
        <row r="206">
          <cell r="A206" t="str">
            <v>V19_S11</v>
          </cell>
          <cell r="B206">
            <v>2.368E-2</v>
          </cell>
        </row>
        <row r="207">
          <cell r="A207" t="str">
            <v>V19_S12</v>
          </cell>
          <cell r="B207">
            <v>3.5119999999999998E-2</v>
          </cell>
        </row>
        <row r="208">
          <cell r="A208" t="str">
            <v>V20_S1</v>
          </cell>
          <cell r="B208">
            <v>2.7699999999999999E-2</v>
          </cell>
        </row>
        <row r="209">
          <cell r="A209" t="str">
            <v>V20_S2</v>
          </cell>
          <cell r="B209">
            <v>1.2239999999999999E-2</v>
          </cell>
        </row>
        <row r="210">
          <cell r="A210" t="str">
            <v>V20_S3</v>
          </cell>
          <cell r="B210">
            <v>1.4670000000000001E-2</v>
          </cell>
        </row>
        <row r="211">
          <cell r="A211" t="str">
            <v>V20_S4</v>
          </cell>
          <cell r="B211">
            <v>2.3269999999999999E-2</v>
          </cell>
        </row>
        <row r="212">
          <cell r="A212" t="str">
            <v>V20_S5</v>
          </cell>
          <cell r="B212">
            <v>1.418E-2</v>
          </cell>
        </row>
        <row r="213">
          <cell r="A213" t="str">
            <v>V20_S6</v>
          </cell>
          <cell r="B213">
            <v>2.7990000000000001E-2</v>
          </cell>
        </row>
        <row r="214">
          <cell r="A214" t="str">
            <v>V20_S7</v>
          </cell>
          <cell r="B214">
            <v>1.243E-2</v>
          </cell>
        </row>
        <row r="215">
          <cell r="A215" t="str">
            <v>V20_S8</v>
          </cell>
          <cell r="B215">
            <v>1.787E-2</v>
          </cell>
        </row>
        <row r="216">
          <cell r="A216" t="str">
            <v>V20_S9</v>
          </cell>
          <cell r="B216">
            <v>2.5940000000000001E-2</v>
          </cell>
        </row>
        <row r="217">
          <cell r="A217" t="str">
            <v>V20_S10</v>
          </cell>
          <cell r="B217">
            <v>2.0979999999999999E-2</v>
          </cell>
        </row>
        <row r="218">
          <cell r="A218" t="str">
            <v>V20_S11</v>
          </cell>
          <cell r="B218">
            <v>2.121E-2</v>
          </cell>
        </row>
        <row r="219">
          <cell r="A219" t="str">
            <v>V20_S12</v>
          </cell>
          <cell r="B219">
            <v>2.6710000000000001E-2</v>
          </cell>
        </row>
        <row r="220">
          <cell r="A220" t="str">
            <v>V21_S11</v>
          </cell>
          <cell r="B220">
            <v>3.1419999999999997E-2</v>
          </cell>
        </row>
        <row r="221">
          <cell r="A221" t="str">
            <v>V21_S12</v>
          </cell>
          <cell r="B221">
            <v>3.236E-2</v>
          </cell>
        </row>
        <row r="222">
          <cell r="A222" t="str">
            <v>V21_S13</v>
          </cell>
          <cell r="B222">
            <v>1.0359999999999999E-2</v>
          </cell>
        </row>
        <row r="223">
          <cell r="A223" t="str">
            <v>V21_S14</v>
          </cell>
          <cell r="B223">
            <v>8.9300000000000004E-3</v>
          </cell>
        </row>
        <row r="224">
          <cell r="A224" t="str">
            <v>V21_S15</v>
          </cell>
          <cell r="B224">
            <v>2.5260000000000001E-2</v>
          </cell>
        </row>
        <row r="226">
          <cell r="A226" t="str">
            <v>V23_S1</v>
          </cell>
          <cell r="B226">
            <v>2.4599999999999999E-3</v>
          </cell>
        </row>
        <row r="227">
          <cell r="A227" t="str">
            <v>V23_S3</v>
          </cell>
          <cell r="B227">
            <v>1.7440000000000001E-2</v>
          </cell>
        </row>
        <row r="228">
          <cell r="A228" t="str">
            <v>V23_S6</v>
          </cell>
          <cell r="B228">
            <v>2.5049999999999999E-2</v>
          </cell>
        </row>
        <row r="229">
          <cell r="A229" t="str">
            <v>V23_S7</v>
          </cell>
          <cell r="B229">
            <v>1.601E-2</v>
          </cell>
        </row>
        <row r="230">
          <cell r="A230" t="str">
            <v>V23_S8</v>
          </cell>
          <cell r="B230">
            <v>1.651E-2</v>
          </cell>
        </row>
        <row r="231">
          <cell r="A231" t="str">
            <v>VZ_S2</v>
          </cell>
          <cell r="B231">
            <v>7.7200000000000003E-3</v>
          </cell>
        </row>
        <row r="232">
          <cell r="A232" t="str">
            <v>VZ_S3</v>
          </cell>
          <cell r="B232">
            <v>7.7799999999999996E-3</v>
          </cell>
        </row>
        <row r="233">
          <cell r="A233" t="str">
            <v>VZ_S6</v>
          </cell>
          <cell r="B233">
            <v>2.1360000000000001E-2</v>
          </cell>
        </row>
        <row r="234">
          <cell r="A234" t="str">
            <v>V24_S1</v>
          </cell>
          <cell r="B234">
            <v>2.5010000000000001E-2</v>
          </cell>
        </row>
        <row r="235">
          <cell r="A235" t="str">
            <v>V24_S2</v>
          </cell>
          <cell r="B235">
            <v>2.801E-2</v>
          </cell>
        </row>
        <row r="236">
          <cell r="A236" t="str">
            <v>V24_S3</v>
          </cell>
          <cell r="B236">
            <v>3.4189999999999998E-2</v>
          </cell>
        </row>
        <row r="237">
          <cell r="A237" t="str">
            <v>V24_S4</v>
          </cell>
          <cell r="B237">
            <v>3.2539999999999999E-2</v>
          </cell>
        </row>
        <row r="238">
          <cell r="A238" t="str">
            <v>V24_S5</v>
          </cell>
          <cell r="B238">
            <v>2.6110000000000001E-2</v>
          </cell>
        </row>
        <row r="239">
          <cell r="A239" t="str">
            <v>V24_S6</v>
          </cell>
          <cell r="B239">
            <v>3.1550000000000002E-2</v>
          </cell>
        </row>
        <row r="240">
          <cell r="A240" t="str">
            <v>V24_S8</v>
          </cell>
          <cell r="B240">
            <v>2.5940000000000001E-2</v>
          </cell>
        </row>
        <row r="241">
          <cell r="A241" t="str">
            <v>V25_S1</v>
          </cell>
          <cell r="B241">
            <v>2.3910000000000001E-2</v>
          </cell>
        </row>
        <row r="242">
          <cell r="A242" t="str">
            <v>V25_S10</v>
          </cell>
          <cell r="B242">
            <v>2.145E-2</v>
          </cell>
        </row>
        <row r="243">
          <cell r="A243" t="str">
            <v>V25_S11</v>
          </cell>
          <cell r="B243">
            <v>2.1420000000000002E-2</v>
          </cell>
        </row>
        <row r="244">
          <cell r="A244" t="str">
            <v>V25_S2</v>
          </cell>
          <cell r="B244">
            <v>2.639E-2</v>
          </cell>
        </row>
        <row r="245">
          <cell r="A245" t="str">
            <v>V25_S3</v>
          </cell>
          <cell r="B245">
            <v>2.2009999999999998E-2</v>
          </cell>
        </row>
        <row r="246">
          <cell r="A246" t="str">
            <v>V25_S5</v>
          </cell>
          <cell r="B246">
            <v>1.376E-2</v>
          </cell>
        </row>
        <row r="247">
          <cell r="A247" t="str">
            <v>V25_S6</v>
          </cell>
          <cell r="B247">
            <v>1.9040000000000001E-2</v>
          </cell>
        </row>
        <row r="248">
          <cell r="A248" t="str">
            <v>V25_S7</v>
          </cell>
          <cell r="B248">
            <v>1.6629999999999999E-2</v>
          </cell>
        </row>
        <row r="249">
          <cell r="A249" t="str">
            <v>V25_S8</v>
          </cell>
          <cell r="B249">
            <v>1.342E-2</v>
          </cell>
        </row>
        <row r="250">
          <cell r="A250" t="str">
            <v>V26_S2</v>
          </cell>
          <cell r="B250">
            <v>1.6400000000000001E-2</v>
          </cell>
        </row>
        <row r="251">
          <cell r="A251" t="str">
            <v>V26_S3</v>
          </cell>
          <cell r="B251">
            <v>2.462E-2</v>
          </cell>
        </row>
        <row r="252">
          <cell r="A252" t="str">
            <v>V28_S6</v>
          </cell>
          <cell r="B252">
            <v>1.0319999999999999E-2</v>
          </cell>
        </row>
        <row r="253">
          <cell r="A253" t="str">
            <v>V28_S7</v>
          </cell>
          <cell r="B253">
            <v>3.4029999999999998E-2</v>
          </cell>
        </row>
        <row r="254">
          <cell r="A254" t="str">
            <v>V30_S1</v>
          </cell>
          <cell r="B254">
            <v>1.481E-2</v>
          </cell>
        </row>
        <row r="255">
          <cell r="A255" t="str">
            <v>V30_S2</v>
          </cell>
          <cell r="B255">
            <v>1.6969999999999999E-2</v>
          </cell>
        </row>
        <row r="256">
          <cell r="A256" t="str">
            <v>V30_S3</v>
          </cell>
          <cell r="B256">
            <v>6.9800000000000001E-3</v>
          </cell>
        </row>
        <row r="257">
          <cell r="A257" t="str">
            <v>V30_S4</v>
          </cell>
          <cell r="B257">
            <v>1.009E-2</v>
          </cell>
        </row>
        <row r="258">
          <cell r="A258" t="str">
            <v>V30_S5</v>
          </cell>
          <cell r="B258">
            <v>1.069E-2</v>
          </cell>
        </row>
        <row r="259">
          <cell r="A259" t="str">
            <v>V30_S6</v>
          </cell>
          <cell r="B259">
            <v>1.035E-2</v>
          </cell>
        </row>
        <row r="260">
          <cell r="A260" t="str">
            <v>V30_S7</v>
          </cell>
          <cell r="B260">
            <v>9.6299999999999997E-3</v>
          </cell>
        </row>
        <row r="261">
          <cell r="A261" t="str">
            <v>V31_S1</v>
          </cell>
          <cell r="B261">
            <v>5.4999999999999997E-3</v>
          </cell>
        </row>
        <row r="262">
          <cell r="A262" t="str">
            <v>V31_S11</v>
          </cell>
          <cell r="B262">
            <v>8.6099999999999996E-3</v>
          </cell>
        </row>
        <row r="263">
          <cell r="A263" t="str">
            <v>V31_S12</v>
          </cell>
          <cell r="B263">
            <v>1.051E-2</v>
          </cell>
        </row>
        <row r="264">
          <cell r="A264" t="str">
            <v>V31_S3</v>
          </cell>
          <cell r="B264">
            <v>8.4100000000000008E-3</v>
          </cell>
        </row>
        <row r="265">
          <cell r="A265" t="str">
            <v>V31_S4</v>
          </cell>
          <cell r="B265">
            <v>7.3600000000000002E-3</v>
          </cell>
        </row>
        <row r="266">
          <cell r="A266" t="str">
            <v>V31_S5</v>
          </cell>
          <cell r="B266">
            <v>7.3299999999999997E-3</v>
          </cell>
        </row>
        <row r="267">
          <cell r="A267" t="str">
            <v>V31_S6</v>
          </cell>
          <cell r="B267">
            <v>6.9699999999999996E-3</v>
          </cell>
        </row>
        <row r="268">
          <cell r="A268" t="str">
            <v>V31_S7</v>
          </cell>
          <cell r="B268">
            <v>7.8600000000000007E-3</v>
          </cell>
        </row>
        <row r="269">
          <cell r="A269" t="str">
            <v>V31_S8</v>
          </cell>
          <cell r="B269">
            <v>7.6699999999999997E-3</v>
          </cell>
        </row>
        <row r="270">
          <cell r="A270" t="str">
            <v>V32_S1</v>
          </cell>
          <cell r="B270">
            <v>1.916E-2</v>
          </cell>
        </row>
        <row r="271">
          <cell r="A271" t="str">
            <v>V32_S2</v>
          </cell>
          <cell r="B271">
            <v>1.7170000000000001E-2</v>
          </cell>
        </row>
        <row r="272">
          <cell r="A272" t="str">
            <v>V32_S3</v>
          </cell>
          <cell r="B272">
            <v>2.3029999999999998E-2</v>
          </cell>
        </row>
        <row r="273">
          <cell r="A273" t="str">
            <v>V32_S4</v>
          </cell>
          <cell r="B273">
            <v>1.968E-2</v>
          </cell>
        </row>
        <row r="274">
          <cell r="A274" t="str">
            <v>VY_S1</v>
          </cell>
          <cell r="B274">
            <v>1.9699999999999999E-2</v>
          </cell>
        </row>
        <row r="275">
          <cell r="A275" t="str">
            <v>VY_S2</v>
          </cell>
          <cell r="B275">
            <v>1.4930000000000001E-2</v>
          </cell>
        </row>
        <row r="276">
          <cell r="A276" t="str">
            <v>VY_S4</v>
          </cell>
          <cell r="B276">
            <v>1.6670000000000001E-2</v>
          </cell>
        </row>
        <row r="277">
          <cell r="A277" t="str">
            <v>VY_S5</v>
          </cell>
          <cell r="B277">
            <v>1.2540000000000001E-2</v>
          </cell>
        </row>
        <row r="278">
          <cell r="A278" t="str">
            <v>VY_S7</v>
          </cell>
          <cell r="B278">
            <v>2.0119999999999999E-2</v>
          </cell>
        </row>
        <row r="279">
          <cell r="A279" t="str">
            <v>VY_S8</v>
          </cell>
          <cell r="B279">
            <v>2.1999999999999999E-2</v>
          </cell>
        </row>
        <row r="280">
          <cell r="A280" t="str">
            <v>VZ_S7</v>
          </cell>
          <cell r="B280">
            <v>1.4E-2</v>
          </cell>
        </row>
        <row r="281">
          <cell r="A281" t="str">
            <v>VZ_S8</v>
          </cell>
          <cell r="B281">
            <v>1.4630000000000001E-2</v>
          </cell>
        </row>
        <row r="283">
          <cell r="A283" t="str">
            <v>V22_S1</v>
          </cell>
          <cell r="B283">
            <v>2.5180000000000001E-2</v>
          </cell>
        </row>
        <row r="284">
          <cell r="A284" t="str">
            <v>V22_S3</v>
          </cell>
          <cell r="B284">
            <v>2.7519999999999999E-2</v>
          </cell>
        </row>
        <row r="285">
          <cell r="A285" t="str">
            <v>V22_S4</v>
          </cell>
          <cell r="B285">
            <v>1.427E-2</v>
          </cell>
        </row>
        <row r="286">
          <cell r="A286" t="str">
            <v>V22_S6</v>
          </cell>
          <cell r="B286">
            <v>1.644E-2</v>
          </cell>
        </row>
        <row r="287">
          <cell r="A287" t="str">
            <v>V22_S7</v>
          </cell>
          <cell r="B287">
            <v>2.2370000000000001E-2</v>
          </cell>
        </row>
        <row r="288">
          <cell r="A288" t="str">
            <v>V22_S8</v>
          </cell>
          <cell r="B288">
            <v>1.2449999999999999E-2</v>
          </cell>
        </row>
        <row r="289">
          <cell r="A289" t="str">
            <v>V32_S5</v>
          </cell>
          <cell r="B289">
            <v>2.18E-2</v>
          </cell>
        </row>
        <row r="290">
          <cell r="A290" t="str">
            <v>V32_S6</v>
          </cell>
          <cell r="B290">
            <v>3.891E-2</v>
          </cell>
        </row>
        <row r="291">
          <cell r="A291" t="str">
            <v>V32_S7</v>
          </cell>
          <cell r="B291">
            <v>1.966E-2</v>
          </cell>
        </row>
        <row r="292">
          <cell r="A292" t="str">
            <v>V32_S8</v>
          </cell>
          <cell r="B292">
            <v>2.9000000000000001E-2</v>
          </cell>
        </row>
        <row r="293">
          <cell r="A293" t="str">
            <v>V32_S9</v>
          </cell>
          <cell r="B293">
            <v>2.2450000000000001E-2</v>
          </cell>
        </row>
        <row r="294">
          <cell r="A294" t="str">
            <v>V32_S10</v>
          </cell>
          <cell r="B294">
            <v>2.453E-2</v>
          </cell>
        </row>
        <row r="295">
          <cell r="A295" t="str">
            <v>V32_S11</v>
          </cell>
          <cell r="B295">
            <v>2.6419999999999999E-2</v>
          </cell>
        </row>
        <row r="296">
          <cell r="A296" t="str">
            <v>V32_S12</v>
          </cell>
          <cell r="B296">
            <v>3.2590000000000001E-2</v>
          </cell>
        </row>
        <row r="297">
          <cell r="A297" t="str">
            <v>V34_S1</v>
          </cell>
          <cell r="B297">
            <v>3.7170000000000002E-2</v>
          </cell>
        </row>
        <row r="298">
          <cell r="A298" t="str">
            <v>V34_S2</v>
          </cell>
          <cell r="B298">
            <v>3.1629999999999998E-2</v>
          </cell>
        </row>
        <row r="299">
          <cell r="A299" t="str">
            <v>V34_S3</v>
          </cell>
          <cell r="B299">
            <v>4.5220000000000003E-2</v>
          </cell>
        </row>
        <row r="300">
          <cell r="A300" t="str">
            <v>V34_S4</v>
          </cell>
          <cell r="B300">
            <v>4.4310000000000002E-2</v>
          </cell>
        </row>
        <row r="301">
          <cell r="A301" t="str">
            <v>V34_S5</v>
          </cell>
          <cell r="B301">
            <v>3.4209999999999997E-2</v>
          </cell>
        </row>
        <row r="302">
          <cell r="A302" t="str">
            <v>V34_S6</v>
          </cell>
          <cell r="B302">
            <v>3.3300000000000003E-2</v>
          </cell>
        </row>
        <row r="303">
          <cell r="A303" t="str">
            <v>V34_S7</v>
          </cell>
          <cell r="B303">
            <v>4.1939999999999998E-2</v>
          </cell>
        </row>
        <row r="304">
          <cell r="A304" t="str">
            <v>V34_S8</v>
          </cell>
          <cell r="B304">
            <v>3.474E-2</v>
          </cell>
        </row>
        <row r="305">
          <cell r="A305" t="str">
            <v>V34_S9</v>
          </cell>
          <cell r="B305">
            <v>4.1669999999999999E-2</v>
          </cell>
        </row>
        <row r="306">
          <cell r="A306" t="str">
            <v>V34_S10</v>
          </cell>
          <cell r="B306">
            <v>2.496E-2</v>
          </cell>
        </row>
        <row r="307">
          <cell r="A307" t="str">
            <v>V36_S1</v>
          </cell>
          <cell r="B307">
            <v>3.4779999999999998E-2</v>
          </cell>
        </row>
        <row r="308">
          <cell r="A308" t="str">
            <v>V36_S2</v>
          </cell>
          <cell r="B308">
            <v>1.814E-2</v>
          </cell>
        </row>
        <row r="309">
          <cell r="A309" t="str">
            <v>V36_S3</v>
          </cell>
          <cell r="B309">
            <v>3.014E-2</v>
          </cell>
        </row>
        <row r="310">
          <cell r="A310" t="str">
            <v>V36_S5</v>
          </cell>
          <cell r="B310">
            <v>2.282E-2</v>
          </cell>
        </row>
        <row r="311">
          <cell r="A311" t="str">
            <v>V36_S6</v>
          </cell>
          <cell r="B311">
            <v>3.0499999999999999E-2</v>
          </cell>
        </row>
        <row r="312">
          <cell r="A312" t="str">
            <v>V36_S7</v>
          </cell>
          <cell r="B312">
            <v>2.7959999999999999E-2</v>
          </cell>
        </row>
        <row r="313">
          <cell r="A313" t="str">
            <v>V36_S8</v>
          </cell>
          <cell r="B313">
            <v>3.8339999999999999E-2</v>
          </cell>
        </row>
        <row r="314">
          <cell r="A314" t="str">
            <v>V36_S9</v>
          </cell>
          <cell r="B314">
            <v>3.9899999999999998E-2</v>
          </cell>
        </row>
        <row r="315">
          <cell r="A315" t="str">
            <v>V36_S10</v>
          </cell>
          <cell r="B315">
            <v>3.3849999999999998E-2</v>
          </cell>
        </row>
        <row r="316">
          <cell r="A316" t="str">
            <v>V36_S12</v>
          </cell>
          <cell r="B316">
            <v>3.5929999999999997E-2</v>
          </cell>
        </row>
        <row r="317">
          <cell r="A317" t="str">
            <v>V36_S13</v>
          </cell>
          <cell r="B317">
            <v>3.4320000000000003E-2</v>
          </cell>
        </row>
        <row r="318">
          <cell r="A318" t="str">
            <v>V36_S14</v>
          </cell>
          <cell r="B318">
            <v>3.7699999999999997E-2</v>
          </cell>
        </row>
        <row r="319">
          <cell r="A319" t="str">
            <v>V36_S16</v>
          </cell>
          <cell r="B319">
            <v>3.8190000000000002E-2</v>
          </cell>
        </row>
        <row r="320">
          <cell r="A320" t="str">
            <v>V37_S1</v>
          </cell>
          <cell r="B320">
            <v>3.0550000000000001E-2</v>
          </cell>
        </row>
        <row r="321">
          <cell r="A321" t="str">
            <v>V37_S2</v>
          </cell>
          <cell r="B321">
            <v>4.2079999999999999E-2</v>
          </cell>
        </row>
        <row r="322">
          <cell r="A322" t="str">
            <v>V37_S3</v>
          </cell>
          <cell r="B322">
            <v>3.986E-2</v>
          </cell>
        </row>
        <row r="323">
          <cell r="A323" t="str">
            <v>V37_S4</v>
          </cell>
          <cell r="B323">
            <v>4.487E-2</v>
          </cell>
        </row>
        <row r="324">
          <cell r="A324" t="str">
            <v>V37_S6</v>
          </cell>
          <cell r="B324">
            <v>3.4630000000000001E-2</v>
          </cell>
        </row>
        <row r="325">
          <cell r="A325" t="str">
            <v>V37_S7</v>
          </cell>
          <cell r="B325">
            <v>3.746E-2</v>
          </cell>
        </row>
        <row r="326">
          <cell r="A326" t="str">
            <v>V37_S8</v>
          </cell>
          <cell r="B326">
            <v>3.3590000000000002E-2</v>
          </cell>
        </row>
        <row r="327">
          <cell r="A327" t="str">
            <v>V37_S9</v>
          </cell>
          <cell r="B327">
            <v>4.2450000000000002E-2</v>
          </cell>
        </row>
        <row r="328">
          <cell r="A328" t="str">
            <v>V37_S10</v>
          </cell>
          <cell r="B328">
            <v>2.981E-2</v>
          </cell>
        </row>
        <row r="329">
          <cell r="A329" t="str">
            <v>V37_S11</v>
          </cell>
          <cell r="B329">
            <v>2.6530000000000001E-2</v>
          </cell>
        </row>
        <row r="330">
          <cell r="A330" t="str">
            <v>V37_S12</v>
          </cell>
          <cell r="B330">
            <v>2.4410000000000001E-2</v>
          </cell>
        </row>
        <row r="331">
          <cell r="A331" t="str">
            <v>V37_S13</v>
          </cell>
          <cell r="B331">
            <v>2.453E-2</v>
          </cell>
        </row>
        <row r="332">
          <cell r="A332" t="str">
            <v>V37_S15</v>
          </cell>
          <cell r="B332">
            <v>3.0200000000000001E-2</v>
          </cell>
        </row>
        <row r="333">
          <cell r="A333" t="str">
            <v>V37_S16</v>
          </cell>
          <cell r="B333">
            <v>2.5950000000000001E-2</v>
          </cell>
        </row>
        <row r="334">
          <cell r="A334" t="str">
            <v>V38_S1</v>
          </cell>
          <cell r="B334">
            <v>1.8630000000000001E-2</v>
          </cell>
        </row>
        <row r="335">
          <cell r="A335" t="str">
            <v>V38_S2</v>
          </cell>
          <cell r="B335">
            <v>9.2300000000000004E-3</v>
          </cell>
        </row>
        <row r="336">
          <cell r="A336" t="str">
            <v>V38_S3</v>
          </cell>
          <cell r="B336">
            <v>9.9299999999999996E-3</v>
          </cell>
        </row>
        <row r="337">
          <cell r="A337" t="str">
            <v>V38_S4</v>
          </cell>
          <cell r="B337">
            <v>7.8100000000000001E-3</v>
          </cell>
        </row>
        <row r="338">
          <cell r="A338" t="str">
            <v>V38_S5</v>
          </cell>
          <cell r="B338">
            <v>1.008E-2</v>
          </cell>
        </row>
        <row r="339">
          <cell r="A339" t="str">
            <v>V38_S6</v>
          </cell>
          <cell r="B339">
            <v>1.175E-2</v>
          </cell>
        </row>
        <row r="340">
          <cell r="A340" t="str">
            <v>V38_S7</v>
          </cell>
          <cell r="B340">
            <v>1.2659999999999999E-2</v>
          </cell>
        </row>
        <row r="341">
          <cell r="A341" t="str">
            <v>V38_S8</v>
          </cell>
          <cell r="B341">
            <v>8.0099999999999998E-3</v>
          </cell>
        </row>
        <row r="342">
          <cell r="A342" t="str">
            <v>V39_S2</v>
          </cell>
          <cell r="B342">
            <v>2.8080000000000001E-2</v>
          </cell>
        </row>
        <row r="343">
          <cell r="A343" t="str">
            <v>V39_S3</v>
          </cell>
          <cell r="B343">
            <v>3.5819999999999998E-2</v>
          </cell>
        </row>
        <row r="344">
          <cell r="A344" t="str">
            <v>V39_S4</v>
          </cell>
          <cell r="B344">
            <v>2.281E-2</v>
          </cell>
        </row>
        <row r="345">
          <cell r="A345" t="str">
            <v>V39_S5</v>
          </cell>
          <cell r="B345">
            <v>2.7150000000000001E-2</v>
          </cell>
        </row>
        <row r="346">
          <cell r="A346" t="str">
            <v>V39_S6</v>
          </cell>
          <cell r="B346">
            <v>2.1420000000000002E-2</v>
          </cell>
        </row>
        <row r="347">
          <cell r="A347" t="str">
            <v>V39_S7</v>
          </cell>
          <cell r="B347">
            <v>2.87E-2</v>
          </cell>
        </row>
        <row r="348">
          <cell r="A348" t="str">
            <v>V39_S8</v>
          </cell>
          <cell r="B348">
            <v>3.3070000000000002E-2</v>
          </cell>
        </row>
        <row r="349">
          <cell r="A349" t="str">
            <v>V39_S9</v>
          </cell>
          <cell r="B349">
            <v>3.576E-2</v>
          </cell>
        </row>
        <row r="350">
          <cell r="A350" t="str">
            <v>V39_S10</v>
          </cell>
          <cell r="B350">
            <v>3.3520000000000001E-2</v>
          </cell>
        </row>
        <row r="351">
          <cell r="A351" t="str">
            <v>V39_S11</v>
          </cell>
          <cell r="B351">
            <v>3.6700000000000003E-2</v>
          </cell>
        </row>
        <row r="352">
          <cell r="A352" t="str">
            <v>V39_S12</v>
          </cell>
          <cell r="B352">
            <v>3.5589999999999997E-2</v>
          </cell>
        </row>
      </sheetData>
      <sheetData sheetId="3">
        <row r="1">
          <cell r="A1" t="str">
            <v>sample</v>
          </cell>
          <cell r="B1" t="str">
            <v>61 queries</v>
          </cell>
        </row>
        <row r="2">
          <cell r="A2" t="str">
            <v>V1_S1</v>
          </cell>
          <cell r="B2">
            <v>5.5900000000000004E-3</v>
          </cell>
        </row>
        <row r="3">
          <cell r="A3" t="str">
            <v>V1_S2</v>
          </cell>
          <cell r="B3">
            <v>3.7699999999999999E-3</v>
          </cell>
        </row>
        <row r="4">
          <cell r="A4" t="str">
            <v>V1_S3</v>
          </cell>
          <cell r="B4">
            <v>2.8500000000000001E-3</v>
          </cell>
        </row>
        <row r="5">
          <cell r="A5" t="str">
            <v>V1_S4</v>
          </cell>
          <cell r="B5">
            <v>3.0799999999999998E-3</v>
          </cell>
        </row>
        <row r="6">
          <cell r="A6" t="str">
            <v>V1_S5</v>
          </cell>
          <cell r="B6">
            <v>3.4399999999999999E-3</v>
          </cell>
        </row>
        <row r="7">
          <cell r="A7" t="str">
            <v>V1_S6</v>
          </cell>
          <cell r="B7">
            <v>3.0200000000000001E-3</v>
          </cell>
        </row>
        <row r="8">
          <cell r="A8" t="str">
            <v>V1_S7</v>
          </cell>
          <cell r="B8">
            <v>9.1299999999999992E-3</v>
          </cell>
        </row>
        <row r="9">
          <cell r="A9" t="str">
            <v>V1_S8</v>
          </cell>
          <cell r="B9">
            <v>2.0240000000000001E-2</v>
          </cell>
        </row>
        <row r="10">
          <cell r="A10" t="str">
            <v>V2_S1</v>
          </cell>
          <cell r="B10">
            <v>6.6800000000000002E-3</v>
          </cell>
        </row>
        <row r="11">
          <cell r="A11" t="str">
            <v>V2_S2</v>
          </cell>
          <cell r="B11">
            <v>4.3699999999999998E-3</v>
          </cell>
        </row>
        <row r="12">
          <cell r="A12" t="str">
            <v>V2_S3</v>
          </cell>
          <cell r="B12">
            <v>2.0930000000000001E-2</v>
          </cell>
        </row>
        <row r="13">
          <cell r="A13" t="str">
            <v>V2_S4</v>
          </cell>
          <cell r="B13">
            <v>5.5399999999999998E-3</v>
          </cell>
        </row>
        <row r="14">
          <cell r="A14" t="str">
            <v>V2_S5</v>
          </cell>
          <cell r="B14">
            <v>5.5399999999999998E-3</v>
          </cell>
        </row>
        <row r="15">
          <cell r="A15" t="str">
            <v>V2_S6</v>
          </cell>
          <cell r="B15">
            <v>1.9810000000000001E-2</v>
          </cell>
        </row>
        <row r="16">
          <cell r="A16" t="str">
            <v>V2_S7</v>
          </cell>
          <cell r="B16">
            <v>6.5100000000000002E-3</v>
          </cell>
        </row>
        <row r="17">
          <cell r="A17" t="str">
            <v>V2_S8</v>
          </cell>
          <cell r="B17">
            <v>7.4000000000000003E-3</v>
          </cell>
        </row>
        <row r="18">
          <cell r="A18" t="str">
            <v>V3_S1</v>
          </cell>
          <cell r="B18">
            <v>9.1199999999999996E-3</v>
          </cell>
        </row>
        <row r="19">
          <cell r="A19" t="str">
            <v>V3_S2</v>
          </cell>
          <cell r="B19">
            <v>1.3950000000000001E-2</v>
          </cell>
        </row>
        <row r="20">
          <cell r="A20" t="str">
            <v>V3_S3</v>
          </cell>
          <cell r="B20">
            <v>6.8700000000000002E-3</v>
          </cell>
        </row>
        <row r="21">
          <cell r="A21" t="str">
            <v>V3_S4</v>
          </cell>
          <cell r="B21">
            <v>8.26E-3</v>
          </cell>
        </row>
        <row r="22">
          <cell r="A22" t="str">
            <v>V3_S5</v>
          </cell>
          <cell r="B22">
            <v>8.2400000000000008E-3</v>
          </cell>
        </row>
        <row r="23">
          <cell r="A23" t="str">
            <v>V3_S6</v>
          </cell>
          <cell r="B23">
            <v>9.0399999999999994E-3</v>
          </cell>
        </row>
        <row r="24">
          <cell r="A24" t="str">
            <v>V3_S7</v>
          </cell>
          <cell r="B24">
            <v>1.1129999999999999E-2</v>
          </cell>
        </row>
        <row r="25">
          <cell r="A25" t="str">
            <v>V3_S8</v>
          </cell>
          <cell r="B25">
            <v>8.77E-3</v>
          </cell>
        </row>
        <row r="26">
          <cell r="A26" t="str">
            <v>V4_S1</v>
          </cell>
          <cell r="B26">
            <v>6.8500000000000002E-3</v>
          </cell>
        </row>
        <row r="27">
          <cell r="A27" t="str">
            <v>V4_S2</v>
          </cell>
          <cell r="B27">
            <v>7.6600000000000001E-3</v>
          </cell>
        </row>
        <row r="28">
          <cell r="A28" t="str">
            <v>V4_S3</v>
          </cell>
          <cell r="B28">
            <v>8.5199999999999998E-3</v>
          </cell>
        </row>
        <row r="29">
          <cell r="A29" t="str">
            <v>V4_S4</v>
          </cell>
          <cell r="B29">
            <v>6.5399999999999998E-3</v>
          </cell>
        </row>
        <row r="30">
          <cell r="A30" t="str">
            <v>V4_S5</v>
          </cell>
          <cell r="B30">
            <v>7.8399999999999997E-3</v>
          </cell>
        </row>
        <row r="31">
          <cell r="A31" t="str">
            <v>V4_S6</v>
          </cell>
          <cell r="B31">
            <v>7.4799999999999997E-3</v>
          </cell>
        </row>
        <row r="32">
          <cell r="A32" t="str">
            <v>V4_S7</v>
          </cell>
          <cell r="B32">
            <v>1.5129999999999999E-2</v>
          </cell>
        </row>
        <row r="33">
          <cell r="A33" t="str">
            <v>V4_S8</v>
          </cell>
          <cell r="B33">
            <v>3.5470000000000002E-2</v>
          </cell>
        </row>
        <row r="34">
          <cell r="A34" t="str">
            <v>V5_S1</v>
          </cell>
          <cell r="B34">
            <v>8.1200000000000005E-3</v>
          </cell>
        </row>
        <row r="35">
          <cell r="A35" t="str">
            <v>V5_S2</v>
          </cell>
          <cell r="B35">
            <v>1.1140000000000001E-2</v>
          </cell>
        </row>
        <row r="36">
          <cell r="A36" t="str">
            <v>V5_S3</v>
          </cell>
          <cell r="B36">
            <v>5.5900000000000004E-3</v>
          </cell>
        </row>
        <row r="37">
          <cell r="A37" t="str">
            <v>V5_S4</v>
          </cell>
          <cell r="B37">
            <v>7.28E-3</v>
          </cell>
        </row>
        <row r="38">
          <cell r="A38" t="str">
            <v>V5_S5</v>
          </cell>
          <cell r="B38">
            <v>7.2500000000000004E-3</v>
          </cell>
        </row>
        <row r="39">
          <cell r="A39" t="str">
            <v>V5_S6</v>
          </cell>
          <cell r="B39">
            <v>5.0499999999999998E-3</v>
          </cell>
        </row>
        <row r="40">
          <cell r="A40" t="str">
            <v>V5_S7</v>
          </cell>
          <cell r="B40">
            <v>4.2500000000000003E-3</v>
          </cell>
        </row>
        <row r="41">
          <cell r="A41" t="str">
            <v>V5_S8</v>
          </cell>
          <cell r="B41">
            <v>6.0699999999999999E-3</v>
          </cell>
        </row>
        <row r="42">
          <cell r="A42" t="str">
            <v>V6_S1</v>
          </cell>
          <cell r="B42">
            <v>7.9299999999999995E-3</v>
          </cell>
        </row>
        <row r="43">
          <cell r="A43" t="str">
            <v>V6_S2</v>
          </cell>
          <cell r="B43">
            <v>4.0699999999999998E-3</v>
          </cell>
        </row>
        <row r="44">
          <cell r="A44" t="str">
            <v>V6_S3</v>
          </cell>
          <cell r="B44">
            <v>7.77E-3</v>
          </cell>
        </row>
        <row r="45">
          <cell r="A45" t="str">
            <v>V6_S4</v>
          </cell>
          <cell r="B45">
            <v>7.3200000000000001E-3</v>
          </cell>
        </row>
        <row r="46">
          <cell r="A46" t="str">
            <v>V6_S5</v>
          </cell>
          <cell r="B46">
            <v>1.192E-2</v>
          </cell>
        </row>
        <row r="47">
          <cell r="A47" t="str">
            <v>V6_S6</v>
          </cell>
          <cell r="B47">
            <v>8.8699999999999994E-3</v>
          </cell>
        </row>
        <row r="48">
          <cell r="A48" t="str">
            <v>V6_S7</v>
          </cell>
          <cell r="B48">
            <v>2.6970000000000001E-2</v>
          </cell>
        </row>
        <row r="49">
          <cell r="A49" t="str">
            <v>V6_S8</v>
          </cell>
          <cell r="B49">
            <v>1.082E-2</v>
          </cell>
        </row>
        <row r="50">
          <cell r="A50" t="str">
            <v>V6_S9</v>
          </cell>
          <cell r="B50">
            <v>1.227E-2</v>
          </cell>
        </row>
        <row r="51">
          <cell r="A51" t="str">
            <v>V6_S10</v>
          </cell>
          <cell r="B51">
            <v>5.7400000000000003E-3</v>
          </cell>
        </row>
        <row r="52">
          <cell r="A52" t="str">
            <v>V6_S11</v>
          </cell>
          <cell r="B52">
            <v>9.2099999999999994E-3</v>
          </cell>
        </row>
        <row r="53">
          <cell r="A53" t="str">
            <v>V6_S12</v>
          </cell>
          <cell r="B53">
            <v>4.0899999999999999E-3</v>
          </cell>
        </row>
        <row r="54">
          <cell r="A54" t="str">
            <v>V6_S13</v>
          </cell>
          <cell r="B54">
            <v>4.3899999999999998E-3</v>
          </cell>
        </row>
        <row r="55">
          <cell r="A55" t="str">
            <v>V6_S14</v>
          </cell>
          <cell r="B55">
            <v>6.8199999999999997E-3</v>
          </cell>
        </row>
        <row r="56">
          <cell r="A56" t="str">
            <v>V6_S15</v>
          </cell>
          <cell r="B56">
            <v>8.3899999999999999E-3</v>
          </cell>
        </row>
        <row r="57">
          <cell r="A57" t="str">
            <v>V6_S16</v>
          </cell>
          <cell r="B57">
            <v>6.3299999999999997E-3</v>
          </cell>
        </row>
        <row r="58">
          <cell r="A58" t="str">
            <v>V7_S1</v>
          </cell>
          <cell r="B58">
            <v>3.2499999999999999E-3</v>
          </cell>
        </row>
        <row r="59">
          <cell r="A59" t="str">
            <v>V7_S2</v>
          </cell>
          <cell r="B59">
            <v>2.2499999999999998E-3</v>
          </cell>
        </row>
        <row r="60">
          <cell r="A60" t="str">
            <v>V7_S3</v>
          </cell>
          <cell r="B60">
            <v>3.16E-3</v>
          </cell>
        </row>
        <row r="61">
          <cell r="A61" t="str">
            <v>V7_S4</v>
          </cell>
          <cell r="B61">
            <v>7.11E-3</v>
          </cell>
        </row>
        <row r="62">
          <cell r="A62" t="str">
            <v>V7_S5</v>
          </cell>
          <cell r="B62">
            <v>1.039E-2</v>
          </cell>
        </row>
        <row r="63">
          <cell r="A63" t="str">
            <v>V7_S6</v>
          </cell>
          <cell r="B63">
            <v>1.1950000000000001E-2</v>
          </cell>
        </row>
        <row r="64">
          <cell r="A64" t="str">
            <v>V7_S7</v>
          </cell>
          <cell r="B64">
            <v>2.9100000000000001E-2</v>
          </cell>
        </row>
        <row r="65">
          <cell r="A65" t="str">
            <v>V7_S8</v>
          </cell>
          <cell r="B65">
            <v>9.3900000000000008E-3</v>
          </cell>
        </row>
        <row r="66">
          <cell r="A66" t="str">
            <v>V7_S9</v>
          </cell>
          <cell r="B66">
            <v>6.6299999999999996E-3</v>
          </cell>
        </row>
        <row r="67">
          <cell r="A67" t="str">
            <v>V7_S10</v>
          </cell>
          <cell r="B67">
            <v>7.8799999999999999E-3</v>
          </cell>
        </row>
        <row r="68">
          <cell r="A68" t="str">
            <v>V7_S11</v>
          </cell>
          <cell r="B68">
            <v>6.1500000000000001E-3</v>
          </cell>
        </row>
        <row r="69">
          <cell r="A69" t="str">
            <v>V7_S12</v>
          </cell>
          <cell r="B69">
            <v>7.2300000000000003E-3</v>
          </cell>
        </row>
        <row r="70">
          <cell r="A70" t="str">
            <v>V7_S13</v>
          </cell>
          <cell r="B70">
            <v>1.1610000000000001E-2</v>
          </cell>
        </row>
        <row r="71">
          <cell r="A71" t="str">
            <v>V7_S14</v>
          </cell>
          <cell r="B71">
            <v>4.0200000000000001E-3</v>
          </cell>
        </row>
        <row r="72">
          <cell r="A72" t="str">
            <v>V7_S15</v>
          </cell>
          <cell r="B72">
            <v>9.8499999999999994E-3</v>
          </cell>
        </row>
        <row r="73">
          <cell r="A73" t="str">
            <v>V7_S16</v>
          </cell>
          <cell r="B73">
            <v>5.13E-3</v>
          </cell>
        </row>
        <row r="74">
          <cell r="A74" t="str">
            <v>V8_S1</v>
          </cell>
          <cell r="B74">
            <v>3.1700000000000001E-3</v>
          </cell>
        </row>
        <row r="75">
          <cell r="A75" t="str">
            <v>V8_S2</v>
          </cell>
          <cell r="B75">
            <v>4.6600000000000001E-3</v>
          </cell>
        </row>
        <row r="76">
          <cell r="A76" t="str">
            <v>V8_S3</v>
          </cell>
          <cell r="B76">
            <v>2.8400000000000001E-3</v>
          </cell>
        </row>
        <row r="77">
          <cell r="A77" t="str">
            <v>V8_S4</v>
          </cell>
          <cell r="B77">
            <v>5.4599999999999996E-3</v>
          </cell>
        </row>
        <row r="78">
          <cell r="A78" t="str">
            <v>V8_S5</v>
          </cell>
          <cell r="B78">
            <v>2.5799999999999998E-3</v>
          </cell>
        </row>
        <row r="79">
          <cell r="A79" t="str">
            <v>V8_S6</v>
          </cell>
          <cell r="B79">
            <v>2.3400000000000001E-3</v>
          </cell>
        </row>
        <row r="80">
          <cell r="A80" t="str">
            <v>V8_S7</v>
          </cell>
          <cell r="B80">
            <v>1.01E-2</v>
          </cell>
        </row>
        <row r="81">
          <cell r="A81" t="str">
            <v>V8_S8</v>
          </cell>
          <cell r="B81">
            <v>3.13E-3</v>
          </cell>
        </row>
        <row r="82">
          <cell r="A82" t="str">
            <v>V8_S9</v>
          </cell>
          <cell r="B82">
            <v>4.4999999999999997E-3</v>
          </cell>
        </row>
        <row r="83">
          <cell r="A83" t="str">
            <v>V8_S10</v>
          </cell>
          <cell r="B83">
            <v>5.4099999999999999E-3</v>
          </cell>
        </row>
        <row r="84">
          <cell r="A84" t="str">
            <v>V8_S11</v>
          </cell>
          <cell r="B84">
            <v>5.9100000000000003E-3</v>
          </cell>
        </row>
        <row r="85">
          <cell r="A85" t="str">
            <v>V8_S12</v>
          </cell>
          <cell r="B85">
            <v>4.7099999999999998E-3</v>
          </cell>
        </row>
        <row r="86">
          <cell r="A86" t="str">
            <v>V8_S13</v>
          </cell>
          <cell r="B86">
            <v>2.9399999999999999E-3</v>
          </cell>
        </row>
        <row r="87">
          <cell r="A87" t="str">
            <v>V8_S14</v>
          </cell>
          <cell r="B87">
            <v>6.0699999999999999E-3</v>
          </cell>
        </row>
        <row r="88">
          <cell r="A88" t="str">
            <v>V8_S15</v>
          </cell>
          <cell r="B88">
            <v>4.4099999999999999E-3</v>
          </cell>
        </row>
        <row r="89">
          <cell r="A89" t="str">
            <v>V8_S16</v>
          </cell>
          <cell r="B89">
            <v>3.7200000000000002E-3</v>
          </cell>
        </row>
        <row r="90">
          <cell r="A90" t="str">
            <v>V9_S1</v>
          </cell>
          <cell r="B90">
            <v>7.6259999999999994E-2</v>
          </cell>
        </row>
        <row r="91">
          <cell r="A91" t="str">
            <v>V9_S2</v>
          </cell>
          <cell r="B91">
            <v>6.0290000000000003E-2</v>
          </cell>
        </row>
        <row r="92">
          <cell r="A92" t="str">
            <v>V9_S3</v>
          </cell>
          <cell r="B92">
            <v>5.8380000000000001E-2</v>
          </cell>
        </row>
        <row r="93">
          <cell r="A93" t="str">
            <v>V9_S4</v>
          </cell>
          <cell r="B93">
            <v>6.3049999999999995E-2</v>
          </cell>
        </row>
        <row r="94">
          <cell r="A94" t="str">
            <v>V9_S5</v>
          </cell>
          <cell r="B94">
            <v>3.3599999999999998E-2</v>
          </cell>
        </row>
        <row r="95">
          <cell r="A95" t="str">
            <v>V9_S6</v>
          </cell>
          <cell r="B95">
            <v>3.9849999999999997E-2</v>
          </cell>
        </row>
        <row r="96">
          <cell r="A96" t="str">
            <v>V9_S7</v>
          </cell>
          <cell r="B96">
            <v>5.1520000000000003E-2</v>
          </cell>
        </row>
        <row r="97">
          <cell r="A97" t="str">
            <v>V9_S8</v>
          </cell>
          <cell r="B97">
            <v>4.6179999999999999E-2</v>
          </cell>
        </row>
        <row r="98">
          <cell r="A98" t="str">
            <v>V9_S9</v>
          </cell>
          <cell r="B98">
            <v>0.11713999999999999</v>
          </cell>
        </row>
        <row r="99">
          <cell r="A99" t="str">
            <v>V9_S10</v>
          </cell>
          <cell r="B99">
            <v>0.12959999999999999</v>
          </cell>
        </row>
        <row r="100">
          <cell r="A100" t="str">
            <v>V9_S11</v>
          </cell>
          <cell r="B100">
            <v>0.12227</v>
          </cell>
        </row>
        <row r="101">
          <cell r="A101" t="str">
            <v>V9_S12</v>
          </cell>
          <cell r="B101">
            <v>7.5880000000000003E-2</v>
          </cell>
        </row>
        <row r="102">
          <cell r="A102" t="str">
            <v>V9_S13</v>
          </cell>
          <cell r="B102">
            <v>8.1059999999999993E-2</v>
          </cell>
        </row>
        <row r="103">
          <cell r="A103" t="str">
            <v>V9_S14</v>
          </cell>
          <cell r="B103">
            <v>7.2080000000000005E-2</v>
          </cell>
        </row>
        <row r="104">
          <cell r="A104" t="str">
            <v>V9_S15</v>
          </cell>
          <cell r="B104">
            <v>8.3400000000000002E-2</v>
          </cell>
        </row>
        <row r="105">
          <cell r="A105" t="str">
            <v>V9_S16</v>
          </cell>
          <cell r="B105">
            <v>5.747E-2</v>
          </cell>
        </row>
        <row r="106">
          <cell r="A106" t="str">
            <v>V10_S1</v>
          </cell>
          <cell r="B106">
            <v>5.4099999999999999E-3</v>
          </cell>
        </row>
        <row r="107">
          <cell r="A107" t="str">
            <v>V10_S2</v>
          </cell>
          <cell r="B107">
            <v>8.26E-3</v>
          </cell>
        </row>
        <row r="108">
          <cell r="A108" t="str">
            <v>V10_S3</v>
          </cell>
          <cell r="B108">
            <v>8.3800000000000003E-3</v>
          </cell>
        </row>
        <row r="109">
          <cell r="A109" t="str">
            <v>V10_S4</v>
          </cell>
          <cell r="B109">
            <v>1.124E-2</v>
          </cell>
        </row>
        <row r="110">
          <cell r="A110" t="str">
            <v>V10_S5</v>
          </cell>
          <cell r="B110">
            <v>1.32E-2</v>
          </cell>
        </row>
        <row r="111">
          <cell r="A111" t="str">
            <v>V10_S6</v>
          </cell>
          <cell r="B111">
            <v>7.0299999999999998E-3</v>
          </cell>
        </row>
        <row r="112">
          <cell r="A112" t="str">
            <v>V10_S7</v>
          </cell>
          <cell r="B112">
            <v>6.13E-3</v>
          </cell>
        </row>
        <row r="113">
          <cell r="A113" t="str">
            <v>V10_S8</v>
          </cell>
          <cell r="B113">
            <v>7.28E-3</v>
          </cell>
        </row>
        <row r="114">
          <cell r="A114" t="str">
            <v>V11_S1</v>
          </cell>
          <cell r="B114">
            <v>0.14338000000000001</v>
          </cell>
        </row>
        <row r="115">
          <cell r="A115" t="str">
            <v>V11_S2</v>
          </cell>
          <cell r="B115">
            <v>4.5220000000000003E-2</v>
          </cell>
        </row>
        <row r="116">
          <cell r="A116" t="str">
            <v>V11_S3</v>
          </cell>
          <cell r="B116">
            <v>6.3649999999999998E-2</v>
          </cell>
        </row>
        <row r="117">
          <cell r="A117" t="str">
            <v>V11_S4</v>
          </cell>
          <cell r="B117">
            <v>6.132E-2</v>
          </cell>
        </row>
        <row r="118">
          <cell r="A118" t="str">
            <v>V11_S5</v>
          </cell>
          <cell r="B118">
            <v>3.8800000000000001E-2</v>
          </cell>
        </row>
        <row r="119">
          <cell r="A119" t="str">
            <v>V11_S6</v>
          </cell>
          <cell r="B119">
            <v>3.3239999999999999E-2</v>
          </cell>
        </row>
        <row r="120">
          <cell r="A120" t="str">
            <v>V11_S8</v>
          </cell>
          <cell r="B120">
            <v>3.4709999999999998E-2</v>
          </cell>
        </row>
        <row r="121">
          <cell r="A121" t="str">
            <v>V11_S9</v>
          </cell>
          <cell r="B121">
            <v>4.0989999999999999E-2</v>
          </cell>
        </row>
        <row r="122">
          <cell r="A122" t="str">
            <v>V11_S10</v>
          </cell>
          <cell r="B122">
            <v>4.718E-2</v>
          </cell>
        </row>
        <row r="123">
          <cell r="A123" t="str">
            <v>V11_S11</v>
          </cell>
          <cell r="B123">
            <v>5.5899999999999998E-2</v>
          </cell>
        </row>
        <row r="124">
          <cell r="A124" t="str">
            <v>V11_S12</v>
          </cell>
          <cell r="B124">
            <v>2.3599999999999999E-2</v>
          </cell>
        </row>
        <row r="125">
          <cell r="A125" t="str">
            <v>V11_S13</v>
          </cell>
          <cell r="B125">
            <v>6.923E-2</v>
          </cell>
        </row>
        <row r="126">
          <cell r="A126" t="str">
            <v>V11_S14</v>
          </cell>
          <cell r="B126">
            <v>7.5300000000000006E-2</v>
          </cell>
        </row>
        <row r="127">
          <cell r="A127" t="str">
            <v>V11_S15</v>
          </cell>
          <cell r="B127">
            <v>3.0599999999999999E-2</v>
          </cell>
        </row>
        <row r="128">
          <cell r="A128" t="str">
            <v>V11_S16</v>
          </cell>
          <cell r="B128">
            <v>5.0970000000000001E-2</v>
          </cell>
        </row>
        <row r="129">
          <cell r="A129" t="str">
            <v>V12_S1</v>
          </cell>
          <cell r="B129">
            <v>6.0499999999999998E-3</v>
          </cell>
        </row>
        <row r="130">
          <cell r="A130" t="str">
            <v>V12_S2</v>
          </cell>
          <cell r="B130">
            <v>1.051E-2</v>
          </cell>
        </row>
        <row r="131">
          <cell r="A131" t="str">
            <v>V12_S3</v>
          </cell>
          <cell r="B131">
            <v>1.2670000000000001E-2</v>
          </cell>
        </row>
        <row r="132">
          <cell r="A132" t="str">
            <v>V12_S4</v>
          </cell>
          <cell r="B132">
            <v>5.219E-2</v>
          </cell>
        </row>
        <row r="133">
          <cell r="A133" t="str">
            <v>V12_S5</v>
          </cell>
          <cell r="B133">
            <v>5.5550000000000002E-2</v>
          </cell>
        </row>
        <row r="134">
          <cell r="A134" t="str">
            <v>V12_S6</v>
          </cell>
          <cell r="B134">
            <v>6.7720000000000002E-2</v>
          </cell>
        </row>
        <row r="135">
          <cell r="A135" t="str">
            <v>V12_S7</v>
          </cell>
          <cell r="B135">
            <v>4.3790000000000003E-2</v>
          </cell>
        </row>
        <row r="136">
          <cell r="A136" t="str">
            <v>V12_S8</v>
          </cell>
          <cell r="B136">
            <v>6.6750000000000004E-2</v>
          </cell>
        </row>
        <row r="137">
          <cell r="A137" t="str">
            <v>V12_S9</v>
          </cell>
          <cell r="B137">
            <v>3.9579999999999997E-2</v>
          </cell>
        </row>
        <row r="138">
          <cell r="A138" t="str">
            <v>V12_S10</v>
          </cell>
          <cell r="B138">
            <v>0.12157</v>
          </cell>
        </row>
        <row r="139">
          <cell r="A139" t="str">
            <v>V12_S11</v>
          </cell>
          <cell r="B139">
            <v>4.9239999999999999E-2</v>
          </cell>
        </row>
        <row r="140">
          <cell r="A140" t="str">
            <v>V12_S12</v>
          </cell>
          <cell r="B140">
            <v>4.4690000000000001E-2</v>
          </cell>
        </row>
        <row r="141">
          <cell r="A141" t="str">
            <v>V12_S13</v>
          </cell>
          <cell r="B141">
            <v>3.8390000000000001E-2</v>
          </cell>
        </row>
        <row r="142">
          <cell r="A142" t="str">
            <v>V12_S14</v>
          </cell>
          <cell r="B142">
            <v>2.9770000000000001E-2</v>
          </cell>
        </row>
        <row r="143">
          <cell r="A143" t="str">
            <v>V12_S15</v>
          </cell>
          <cell r="B143">
            <v>3.44E-2</v>
          </cell>
        </row>
        <row r="144">
          <cell r="A144" t="str">
            <v>V12_S16</v>
          </cell>
          <cell r="B144">
            <v>4.7940000000000003E-2</v>
          </cell>
        </row>
        <row r="145">
          <cell r="A145" t="str">
            <v>V13_S1</v>
          </cell>
          <cell r="B145">
            <v>1.0869999999999999E-2</v>
          </cell>
        </row>
        <row r="146">
          <cell r="A146" t="str">
            <v>V13_S2</v>
          </cell>
          <cell r="B146">
            <v>1.171E-2</v>
          </cell>
        </row>
        <row r="147">
          <cell r="A147" t="str">
            <v>V13_S3</v>
          </cell>
          <cell r="B147">
            <v>1.005E-2</v>
          </cell>
        </row>
        <row r="148">
          <cell r="A148" t="str">
            <v>V13_S4</v>
          </cell>
          <cell r="B148">
            <v>5.9500000000000004E-3</v>
          </cell>
        </row>
        <row r="149">
          <cell r="A149" t="str">
            <v>V13_S5</v>
          </cell>
          <cell r="B149">
            <v>4.5900000000000003E-3</v>
          </cell>
        </row>
        <row r="150">
          <cell r="A150" t="str">
            <v>V13_S7</v>
          </cell>
          <cell r="B150">
            <v>2.7289999999999998E-2</v>
          </cell>
        </row>
        <row r="151">
          <cell r="A151" t="str">
            <v>V13_S8</v>
          </cell>
          <cell r="B151">
            <v>1.9050000000000001E-2</v>
          </cell>
        </row>
        <row r="152">
          <cell r="A152" t="str">
            <v>V13_S9</v>
          </cell>
          <cell r="B152">
            <v>1.8919999999999999E-2</v>
          </cell>
        </row>
        <row r="153">
          <cell r="A153" t="str">
            <v>V13_S10</v>
          </cell>
          <cell r="B153">
            <v>8.7899999999999992E-3</v>
          </cell>
        </row>
        <row r="154">
          <cell r="A154" t="str">
            <v>V13_S11</v>
          </cell>
          <cell r="B154">
            <v>6.3600000000000002E-3</v>
          </cell>
        </row>
        <row r="155">
          <cell r="A155" t="str">
            <v>V13_S12</v>
          </cell>
          <cell r="B155">
            <v>4.3499999999999997E-3</v>
          </cell>
        </row>
        <row r="156">
          <cell r="A156" t="str">
            <v>V14_S1</v>
          </cell>
          <cell r="B156">
            <v>3.3700000000000001E-2</v>
          </cell>
        </row>
        <row r="157">
          <cell r="A157" t="str">
            <v>V14_S2</v>
          </cell>
          <cell r="B157">
            <v>2.282E-2</v>
          </cell>
        </row>
        <row r="158">
          <cell r="A158" t="str">
            <v>V14_S3</v>
          </cell>
          <cell r="B158">
            <v>3.2899999999999999E-2</v>
          </cell>
        </row>
        <row r="159">
          <cell r="A159" t="str">
            <v>V14_S4</v>
          </cell>
          <cell r="B159">
            <v>3.2870000000000003E-2</v>
          </cell>
        </row>
        <row r="160">
          <cell r="A160" t="str">
            <v>V14_S5</v>
          </cell>
          <cell r="B160">
            <v>2.2620000000000001E-2</v>
          </cell>
        </row>
        <row r="161">
          <cell r="A161" t="str">
            <v>V14_S6</v>
          </cell>
          <cell r="B161">
            <v>1.6709999999999999E-2</v>
          </cell>
        </row>
        <row r="162">
          <cell r="A162" t="str">
            <v>V14_S7</v>
          </cell>
          <cell r="B162">
            <v>2.4500000000000001E-2</v>
          </cell>
        </row>
        <row r="163">
          <cell r="A163" t="str">
            <v>V14_S8</v>
          </cell>
          <cell r="B163">
            <v>1.6959999999999999E-2</v>
          </cell>
        </row>
        <row r="164">
          <cell r="A164" t="str">
            <v>V14_S9</v>
          </cell>
          <cell r="B164">
            <v>2.6849999999999999E-2</v>
          </cell>
        </row>
        <row r="165">
          <cell r="A165" t="str">
            <v>V14_S10</v>
          </cell>
          <cell r="B165">
            <v>1.967E-2</v>
          </cell>
        </row>
        <row r="166">
          <cell r="A166" t="str">
            <v>V14_S11</v>
          </cell>
          <cell r="B166">
            <v>2.034E-2</v>
          </cell>
        </row>
        <row r="167">
          <cell r="A167" t="str">
            <v>V14_S12</v>
          </cell>
          <cell r="B167">
            <v>1.7829999999999999E-2</v>
          </cell>
        </row>
        <row r="168">
          <cell r="A168" t="str">
            <v>V15_S1</v>
          </cell>
          <cell r="B168">
            <v>3.007E-2</v>
          </cell>
        </row>
        <row r="169">
          <cell r="A169" t="str">
            <v>V15_S4</v>
          </cell>
          <cell r="B169">
            <v>4.0200000000000001E-3</v>
          </cell>
        </row>
        <row r="170">
          <cell r="A170" t="str">
            <v>V15_S5</v>
          </cell>
          <cell r="B170">
            <v>6.0000000000000001E-3</v>
          </cell>
        </row>
        <row r="171">
          <cell r="A171" t="str">
            <v>V15_S6</v>
          </cell>
          <cell r="B171">
            <v>6.5700000000000003E-3</v>
          </cell>
        </row>
        <row r="172">
          <cell r="A172" t="str">
            <v>V15_S8</v>
          </cell>
          <cell r="B172">
            <v>4.8700000000000002E-3</v>
          </cell>
        </row>
        <row r="173">
          <cell r="A173" t="str">
            <v>V15_S7</v>
          </cell>
          <cell r="B173">
            <v>5.77E-3</v>
          </cell>
        </row>
        <row r="174">
          <cell r="A174" t="str">
            <v>V15_S9</v>
          </cell>
          <cell r="B174">
            <v>3.8300000000000001E-3</v>
          </cell>
        </row>
        <row r="175">
          <cell r="A175" t="str">
            <v>V15_S10</v>
          </cell>
          <cell r="B175">
            <v>3.31E-3</v>
          </cell>
        </row>
        <row r="176">
          <cell r="A176" t="str">
            <v>V15_S11</v>
          </cell>
          <cell r="B176">
            <v>6.1399999999999996E-3</v>
          </cell>
        </row>
        <row r="177">
          <cell r="A177" t="str">
            <v>V15_S12</v>
          </cell>
          <cell r="B177">
            <v>6.4400000000000004E-3</v>
          </cell>
        </row>
        <row r="178">
          <cell r="A178" t="str">
            <v>V16_S1</v>
          </cell>
          <cell r="B178">
            <v>2.6599999999999999E-2</v>
          </cell>
        </row>
        <row r="179">
          <cell r="A179" t="str">
            <v>V16_S3</v>
          </cell>
          <cell r="B179">
            <v>1.2999999999999999E-2</v>
          </cell>
        </row>
        <row r="180">
          <cell r="A180" t="str">
            <v>V16_S4</v>
          </cell>
          <cell r="B180">
            <v>1.026E-2</v>
          </cell>
        </row>
        <row r="181">
          <cell r="A181" t="str">
            <v>V16_S5</v>
          </cell>
          <cell r="B181">
            <v>1.4250000000000001E-2</v>
          </cell>
        </row>
        <row r="182">
          <cell r="A182" t="str">
            <v>V16_S6</v>
          </cell>
          <cell r="B182">
            <v>1.9279999999999999E-2</v>
          </cell>
        </row>
        <row r="183">
          <cell r="A183" t="str">
            <v>V16_S7</v>
          </cell>
          <cell r="B183">
            <v>2.4549999999999999E-2</v>
          </cell>
        </row>
        <row r="184">
          <cell r="A184" t="str">
            <v>V16_S9</v>
          </cell>
          <cell r="B184">
            <v>1.478E-2</v>
          </cell>
        </row>
        <row r="185">
          <cell r="A185" t="str">
            <v>V16_S10</v>
          </cell>
          <cell r="B185">
            <v>1.5610000000000001E-2</v>
          </cell>
        </row>
        <row r="186">
          <cell r="A186" t="str">
            <v>V16_S11</v>
          </cell>
          <cell r="B186">
            <v>8.6899999999999998E-3</v>
          </cell>
        </row>
        <row r="187">
          <cell r="A187" t="str">
            <v>V16_S12</v>
          </cell>
          <cell r="B187">
            <v>1.669E-2</v>
          </cell>
        </row>
        <row r="188">
          <cell r="A188" t="str">
            <v>V17_S1</v>
          </cell>
          <cell r="B188">
            <v>1.8110000000000001E-2</v>
          </cell>
        </row>
        <row r="189">
          <cell r="A189" t="str">
            <v>V17_S2</v>
          </cell>
          <cell r="B189">
            <v>2.1669999999999998E-2</v>
          </cell>
        </row>
        <row r="190">
          <cell r="A190" t="str">
            <v>V17_S3</v>
          </cell>
          <cell r="B190">
            <v>9.4400000000000005E-3</v>
          </cell>
        </row>
        <row r="191">
          <cell r="A191" t="str">
            <v>V17_S5</v>
          </cell>
          <cell r="B191">
            <v>2.0129999999999999E-2</v>
          </cell>
        </row>
        <row r="192">
          <cell r="A192" t="str">
            <v>V17_S6</v>
          </cell>
          <cell r="B192">
            <v>2.198E-2</v>
          </cell>
        </row>
        <row r="193">
          <cell r="A193" t="str">
            <v>V17_S8</v>
          </cell>
          <cell r="B193">
            <v>1.1679999999999999E-2</v>
          </cell>
        </row>
        <row r="194">
          <cell r="A194" t="str">
            <v>V17_S16</v>
          </cell>
          <cell r="B194">
            <v>5.8799999999999998E-3</v>
          </cell>
        </row>
        <row r="195">
          <cell r="A195" t="str">
            <v>V17_S18</v>
          </cell>
          <cell r="B195">
            <v>6.0299999999999998E-3</v>
          </cell>
        </row>
        <row r="196">
          <cell r="A196" t="str">
            <v>V17_S19</v>
          </cell>
          <cell r="B196">
            <v>4.5999999999999999E-3</v>
          </cell>
        </row>
        <row r="197">
          <cell r="A197" t="str">
            <v>V17_S20</v>
          </cell>
          <cell r="B197">
            <v>1.712E-2</v>
          </cell>
        </row>
        <row r="198">
          <cell r="A198" t="str">
            <v>V19_S1</v>
          </cell>
          <cell r="B198">
            <v>1.5980000000000001E-2</v>
          </cell>
        </row>
        <row r="199">
          <cell r="A199" t="str">
            <v>V19_S2</v>
          </cell>
          <cell r="B199">
            <v>2.1389999999999999E-2</v>
          </cell>
        </row>
        <row r="200">
          <cell r="A200" t="str">
            <v>V19_S3</v>
          </cell>
          <cell r="B200">
            <v>3.2669999999999998E-2</v>
          </cell>
        </row>
        <row r="201">
          <cell r="A201" t="str">
            <v>V19_S5</v>
          </cell>
          <cell r="B201">
            <v>2.3220000000000001E-2</v>
          </cell>
        </row>
        <row r="202">
          <cell r="A202" t="str">
            <v>V19_S6</v>
          </cell>
          <cell r="B202">
            <v>3.1199999999999999E-2</v>
          </cell>
        </row>
        <row r="203">
          <cell r="A203" t="str">
            <v>V19_S7</v>
          </cell>
          <cell r="B203">
            <v>1.9550000000000001E-2</v>
          </cell>
        </row>
        <row r="204">
          <cell r="A204" t="str">
            <v>V19_S9</v>
          </cell>
          <cell r="B204">
            <v>2.2849999999999999E-2</v>
          </cell>
        </row>
        <row r="205">
          <cell r="A205" t="str">
            <v>V19_S10</v>
          </cell>
          <cell r="B205">
            <v>2.7869999999999999E-2</v>
          </cell>
        </row>
        <row r="206">
          <cell r="A206" t="str">
            <v>V19_S11</v>
          </cell>
          <cell r="B206">
            <v>2.3480000000000001E-2</v>
          </cell>
        </row>
        <row r="207">
          <cell r="A207" t="str">
            <v>V19_S12</v>
          </cell>
          <cell r="B207">
            <v>3.2250000000000001E-2</v>
          </cell>
        </row>
        <row r="208">
          <cell r="A208" t="str">
            <v>V20_S1</v>
          </cell>
          <cell r="B208">
            <v>2.7609999999999999E-2</v>
          </cell>
        </row>
        <row r="209">
          <cell r="A209" t="str">
            <v>V20_S2</v>
          </cell>
          <cell r="B209">
            <v>1.231E-2</v>
          </cell>
        </row>
        <row r="210">
          <cell r="A210" t="str">
            <v>V20_S3</v>
          </cell>
          <cell r="B210">
            <v>1.406E-2</v>
          </cell>
        </row>
        <row r="211">
          <cell r="A211" t="str">
            <v>V20_S4</v>
          </cell>
          <cell r="B211">
            <v>2.1780000000000001E-2</v>
          </cell>
        </row>
        <row r="212">
          <cell r="A212" t="str">
            <v>V20_S5</v>
          </cell>
          <cell r="B212">
            <v>1.363E-2</v>
          </cell>
        </row>
        <row r="213">
          <cell r="A213" t="str">
            <v>V20_S6</v>
          </cell>
          <cell r="B213">
            <v>2.8400000000000002E-2</v>
          </cell>
        </row>
        <row r="214">
          <cell r="A214" t="str">
            <v>V20_S7</v>
          </cell>
          <cell r="B214">
            <v>1.17E-2</v>
          </cell>
        </row>
        <row r="215">
          <cell r="A215" t="str">
            <v>V20_S8</v>
          </cell>
          <cell r="B215">
            <v>1.779E-2</v>
          </cell>
        </row>
        <row r="216">
          <cell r="A216" t="str">
            <v>V20_S9</v>
          </cell>
          <cell r="B216">
            <v>2.6859999999999998E-2</v>
          </cell>
        </row>
        <row r="217">
          <cell r="A217" t="str">
            <v>V20_S10</v>
          </cell>
          <cell r="B217">
            <v>2.111E-2</v>
          </cell>
        </row>
        <row r="218">
          <cell r="A218" t="str">
            <v>V20_S11</v>
          </cell>
          <cell r="B218">
            <v>1.915E-2</v>
          </cell>
        </row>
        <row r="219">
          <cell r="A219" t="str">
            <v>V20_S12</v>
          </cell>
          <cell r="B219">
            <v>2.3400000000000001E-2</v>
          </cell>
        </row>
        <row r="220">
          <cell r="A220" t="str">
            <v>V21_S11</v>
          </cell>
          <cell r="B220">
            <v>2.843E-2</v>
          </cell>
        </row>
        <row r="221">
          <cell r="A221" t="str">
            <v>V21_S12</v>
          </cell>
          <cell r="B221">
            <v>2.6929999999999999E-2</v>
          </cell>
        </row>
        <row r="222">
          <cell r="A222" t="str">
            <v>V21_S13</v>
          </cell>
          <cell r="B222">
            <v>5.94E-3</v>
          </cell>
        </row>
        <row r="223">
          <cell r="A223" t="str">
            <v>V21_S14</v>
          </cell>
          <cell r="B223">
            <v>4.2599999999999999E-3</v>
          </cell>
        </row>
        <row r="224">
          <cell r="A224" t="str">
            <v>V21_S15</v>
          </cell>
          <cell r="B224">
            <v>2.3570000000000001E-2</v>
          </cell>
        </row>
        <row r="225">
          <cell r="A225" t="str">
            <v>V23_S1</v>
          </cell>
          <cell r="B225">
            <v>2.0899999999999998E-3</v>
          </cell>
        </row>
        <row r="226">
          <cell r="A226" t="str">
            <v>V23_S3</v>
          </cell>
          <cell r="B226">
            <v>1.8010000000000002E-2</v>
          </cell>
        </row>
        <row r="227">
          <cell r="A227" t="str">
            <v>V23_S6</v>
          </cell>
          <cell r="B227">
            <v>2.6270000000000002E-2</v>
          </cell>
        </row>
        <row r="228">
          <cell r="A228" t="str">
            <v>V23_S7</v>
          </cell>
          <cell r="B228">
            <v>1.6639999999999999E-2</v>
          </cell>
        </row>
        <row r="229">
          <cell r="A229" t="str">
            <v>V23_S8</v>
          </cell>
          <cell r="B229">
            <v>1.6230000000000001E-2</v>
          </cell>
        </row>
        <row r="230">
          <cell r="A230" t="str">
            <v>VZ_S2</v>
          </cell>
          <cell r="B230">
            <v>7.9600000000000001E-3</v>
          </cell>
        </row>
        <row r="231">
          <cell r="A231" t="str">
            <v>VZ_S3</v>
          </cell>
          <cell r="B231">
            <v>7.8300000000000002E-3</v>
          </cell>
        </row>
        <row r="232">
          <cell r="A232" t="str">
            <v>VZ_S6</v>
          </cell>
          <cell r="B232">
            <v>2.2210000000000001E-2</v>
          </cell>
        </row>
        <row r="233">
          <cell r="A233" t="str">
            <v>V24_S1</v>
          </cell>
          <cell r="B233">
            <v>2.3050000000000001E-2</v>
          </cell>
        </row>
        <row r="234">
          <cell r="A234" t="str">
            <v>V24_S2</v>
          </cell>
          <cell r="B234">
            <v>2.69E-2</v>
          </cell>
        </row>
        <row r="235">
          <cell r="A235" t="str">
            <v>V24_S3</v>
          </cell>
          <cell r="B235">
            <v>3.2190000000000003E-2</v>
          </cell>
        </row>
        <row r="236">
          <cell r="A236" t="str">
            <v>V24_S4</v>
          </cell>
          <cell r="B236">
            <v>3.0110000000000001E-2</v>
          </cell>
        </row>
        <row r="237">
          <cell r="A237" t="str">
            <v>V24_S5</v>
          </cell>
          <cell r="B237">
            <v>2.401E-2</v>
          </cell>
        </row>
        <row r="238">
          <cell r="A238" t="str">
            <v>V24_S6</v>
          </cell>
          <cell r="B238">
            <v>2.9219999999999999E-2</v>
          </cell>
        </row>
        <row r="239">
          <cell r="A239" t="str">
            <v>V24_S8</v>
          </cell>
          <cell r="B239">
            <v>2.4049999999999998E-2</v>
          </cell>
        </row>
        <row r="240">
          <cell r="A240" t="str">
            <v>V25_S1</v>
          </cell>
          <cell r="B240">
            <v>2.3019999999999999E-2</v>
          </cell>
        </row>
        <row r="241">
          <cell r="A241" t="str">
            <v>V25_S10</v>
          </cell>
          <cell r="B241">
            <v>2.0219999999999998E-2</v>
          </cell>
        </row>
        <row r="242">
          <cell r="A242" t="str">
            <v>V25_S11</v>
          </cell>
          <cell r="B242">
            <v>1.9390000000000001E-2</v>
          </cell>
        </row>
        <row r="243">
          <cell r="A243" t="str">
            <v>V25_S2</v>
          </cell>
          <cell r="B243">
            <v>2.4510000000000001E-2</v>
          </cell>
        </row>
        <row r="244">
          <cell r="A244" t="str">
            <v>V25_S3</v>
          </cell>
          <cell r="B244">
            <v>2.1729999999999999E-2</v>
          </cell>
        </row>
        <row r="245">
          <cell r="A245" t="str">
            <v>V25_S5</v>
          </cell>
          <cell r="B245">
            <v>1.308E-2</v>
          </cell>
        </row>
        <row r="246">
          <cell r="A246" t="str">
            <v>V25_S6</v>
          </cell>
          <cell r="B246">
            <v>1.763E-2</v>
          </cell>
        </row>
        <row r="247">
          <cell r="A247" t="str">
            <v>V25_S7</v>
          </cell>
          <cell r="B247">
            <v>1.478E-2</v>
          </cell>
        </row>
        <row r="248">
          <cell r="A248" t="str">
            <v>V25_S8</v>
          </cell>
          <cell r="B248">
            <v>1.1310000000000001E-2</v>
          </cell>
        </row>
        <row r="249">
          <cell r="A249" t="str">
            <v>V26_S2</v>
          </cell>
          <cell r="B249">
            <v>1.26E-2</v>
          </cell>
        </row>
        <row r="250">
          <cell r="A250" t="str">
            <v>V26_S3</v>
          </cell>
          <cell r="B250">
            <v>2.1299999999999999E-2</v>
          </cell>
        </row>
        <row r="251">
          <cell r="A251" t="str">
            <v>V28_S6</v>
          </cell>
          <cell r="B251">
            <v>1.1270000000000001E-2</v>
          </cell>
        </row>
        <row r="252">
          <cell r="A252" t="str">
            <v>V28_S7</v>
          </cell>
          <cell r="B252">
            <v>3.4509999999999999E-2</v>
          </cell>
        </row>
        <row r="253">
          <cell r="A253" t="str">
            <v>V30_S1</v>
          </cell>
          <cell r="B253">
            <v>1.2070000000000001E-2</v>
          </cell>
        </row>
        <row r="254">
          <cell r="A254" t="str">
            <v>V30_S2</v>
          </cell>
          <cell r="B254">
            <v>1.302E-2</v>
          </cell>
        </row>
        <row r="255">
          <cell r="A255" t="str">
            <v>V30_S3</v>
          </cell>
          <cell r="B255">
            <v>5.4599999999999996E-3</v>
          </cell>
        </row>
        <row r="256">
          <cell r="A256" t="str">
            <v>V30_S4</v>
          </cell>
          <cell r="B256">
            <v>7.8700000000000003E-3</v>
          </cell>
        </row>
        <row r="257">
          <cell r="A257" t="str">
            <v>V30_S5</v>
          </cell>
          <cell r="B257">
            <v>7.1500000000000001E-3</v>
          </cell>
        </row>
        <row r="258">
          <cell r="A258" t="str">
            <v>V30_S6</v>
          </cell>
          <cell r="B258">
            <v>7.9900000000000006E-3</v>
          </cell>
        </row>
        <row r="259">
          <cell r="A259" t="str">
            <v>V30_S7</v>
          </cell>
          <cell r="B259">
            <v>7.3099999999999997E-3</v>
          </cell>
        </row>
        <row r="260">
          <cell r="A260" t="str">
            <v>V31_S1</v>
          </cell>
          <cell r="B260">
            <v>4.1700000000000001E-3</v>
          </cell>
        </row>
        <row r="261">
          <cell r="A261" t="str">
            <v>V31_S11</v>
          </cell>
          <cell r="B261">
            <v>6.5300000000000002E-3</v>
          </cell>
        </row>
        <row r="262">
          <cell r="A262" t="str">
            <v>V31_S12</v>
          </cell>
          <cell r="B262">
            <v>8.5000000000000006E-3</v>
          </cell>
        </row>
        <row r="263">
          <cell r="A263" t="str">
            <v>V31_S3</v>
          </cell>
          <cell r="B263">
            <v>6.0600000000000003E-3</v>
          </cell>
        </row>
        <row r="264">
          <cell r="A264" t="str">
            <v>V31_S4</v>
          </cell>
          <cell r="B264">
            <v>5.64E-3</v>
          </cell>
        </row>
        <row r="265">
          <cell r="A265" t="str">
            <v>V31_S5</v>
          </cell>
          <cell r="B265">
            <v>5.11E-3</v>
          </cell>
        </row>
        <row r="266">
          <cell r="A266" t="str">
            <v>V31_S6</v>
          </cell>
          <cell r="B266">
            <v>4.5999999999999999E-3</v>
          </cell>
        </row>
        <row r="267">
          <cell r="A267" t="str">
            <v>V31_S7</v>
          </cell>
          <cell r="B267">
            <v>5.8599999999999998E-3</v>
          </cell>
        </row>
        <row r="268">
          <cell r="A268" t="str">
            <v>V31_S8</v>
          </cell>
          <cell r="B268">
            <v>5.7299999999999999E-3</v>
          </cell>
        </row>
        <row r="269">
          <cell r="A269" t="str">
            <v>V32_S1</v>
          </cell>
          <cell r="B269">
            <v>1.7010000000000001E-2</v>
          </cell>
        </row>
        <row r="270">
          <cell r="A270" t="str">
            <v>V32_S2</v>
          </cell>
          <cell r="B270">
            <v>1.5640000000000001E-2</v>
          </cell>
        </row>
        <row r="271">
          <cell r="A271" t="str">
            <v>V32_S3</v>
          </cell>
          <cell r="B271">
            <v>1.9720000000000001E-2</v>
          </cell>
        </row>
        <row r="272">
          <cell r="A272" t="str">
            <v>V32_S4</v>
          </cell>
          <cell r="B272">
            <v>1.6549999999999999E-2</v>
          </cell>
        </row>
        <row r="273">
          <cell r="A273" t="str">
            <v>VY_S1</v>
          </cell>
          <cell r="B273">
            <v>1.8069999999999999E-2</v>
          </cell>
        </row>
        <row r="274">
          <cell r="A274" t="str">
            <v>VY_S2</v>
          </cell>
          <cell r="B274">
            <v>1.299E-2</v>
          </cell>
        </row>
        <row r="275">
          <cell r="A275" t="str">
            <v>VY_S4</v>
          </cell>
          <cell r="B275">
            <v>1.453E-2</v>
          </cell>
        </row>
        <row r="276">
          <cell r="A276" t="str">
            <v>VY_S5</v>
          </cell>
          <cell r="B276">
            <v>1.102E-2</v>
          </cell>
        </row>
        <row r="277">
          <cell r="A277" t="str">
            <v>VY_S7</v>
          </cell>
          <cell r="B277">
            <v>1.9470000000000001E-2</v>
          </cell>
        </row>
        <row r="278">
          <cell r="A278" t="str">
            <v>VY_S8</v>
          </cell>
          <cell r="B278">
            <v>2.1219999999999999E-2</v>
          </cell>
        </row>
        <row r="279">
          <cell r="A279" t="str">
            <v>VZ_S7</v>
          </cell>
          <cell r="B279">
            <v>1.2619999999999999E-2</v>
          </cell>
        </row>
        <row r="280">
          <cell r="A280" t="str">
            <v>VZ_S8</v>
          </cell>
          <cell r="B280">
            <v>1.269E-2</v>
          </cell>
        </row>
        <row r="281">
          <cell r="A281" t="str">
            <v>V22_S1</v>
          </cell>
          <cell r="B281">
            <v>2.1360000000000001E-2</v>
          </cell>
        </row>
        <row r="282">
          <cell r="A282" t="str">
            <v>V22_S3</v>
          </cell>
          <cell r="B282">
            <v>2.3179999999999999E-2</v>
          </cell>
        </row>
        <row r="283">
          <cell r="A283" t="str">
            <v>V22_S4</v>
          </cell>
          <cell r="B283">
            <v>1.12E-2</v>
          </cell>
        </row>
        <row r="284">
          <cell r="A284" t="str">
            <v>V22_S6</v>
          </cell>
          <cell r="B284">
            <v>1.345E-2</v>
          </cell>
        </row>
        <row r="285">
          <cell r="A285" t="str">
            <v>V22_S7</v>
          </cell>
          <cell r="B285">
            <v>1.8929999999999999E-2</v>
          </cell>
        </row>
        <row r="286">
          <cell r="A286" t="str">
            <v>V22_S8</v>
          </cell>
          <cell r="B286">
            <v>1.0919999999999999E-2</v>
          </cell>
        </row>
        <row r="287">
          <cell r="A287" t="str">
            <v>V32_S5</v>
          </cell>
          <cell r="B287">
            <v>1.823E-2</v>
          </cell>
        </row>
        <row r="288">
          <cell r="A288" t="str">
            <v>V32_S6</v>
          </cell>
          <cell r="B288">
            <v>2.9700000000000001E-2</v>
          </cell>
        </row>
        <row r="289">
          <cell r="A289" t="str">
            <v>V32_S7</v>
          </cell>
          <cell r="B289">
            <v>1.7500000000000002E-2</v>
          </cell>
        </row>
        <row r="290">
          <cell r="A290" t="str">
            <v>V32_S8</v>
          </cell>
          <cell r="B290">
            <v>2.4629999999999999E-2</v>
          </cell>
        </row>
        <row r="291">
          <cell r="A291" t="str">
            <v>V32_S9</v>
          </cell>
          <cell r="B291">
            <v>1.915E-2</v>
          </cell>
        </row>
        <row r="292">
          <cell r="A292" t="str">
            <v>V32_S10</v>
          </cell>
          <cell r="B292">
            <v>2.231E-2</v>
          </cell>
        </row>
        <row r="293">
          <cell r="A293" t="str">
            <v>V32_S11</v>
          </cell>
          <cell r="B293">
            <v>2.29E-2</v>
          </cell>
        </row>
        <row r="294">
          <cell r="A294" t="str">
            <v>V32_S12</v>
          </cell>
          <cell r="B294">
            <v>2.6349999999999998E-2</v>
          </cell>
        </row>
        <row r="295">
          <cell r="A295" t="str">
            <v>V34_S1</v>
          </cell>
          <cell r="B295">
            <v>3.0009999999999998E-2</v>
          </cell>
        </row>
        <row r="296">
          <cell r="A296" t="str">
            <v>V34_S2</v>
          </cell>
          <cell r="B296">
            <v>2.3699999999999999E-2</v>
          </cell>
        </row>
        <row r="297">
          <cell r="A297" t="str">
            <v>V34_S3</v>
          </cell>
          <cell r="B297">
            <v>3.5130000000000002E-2</v>
          </cell>
        </row>
        <row r="298">
          <cell r="A298" t="str">
            <v>V34_S4</v>
          </cell>
          <cell r="B298">
            <v>3.3619999999999997E-2</v>
          </cell>
        </row>
        <row r="299">
          <cell r="A299" t="str">
            <v>V34_S5</v>
          </cell>
          <cell r="B299">
            <v>2.7990000000000001E-2</v>
          </cell>
        </row>
        <row r="300">
          <cell r="A300" t="str">
            <v>V34_S6</v>
          </cell>
          <cell r="B300">
            <v>2.5989999999999999E-2</v>
          </cell>
        </row>
        <row r="301">
          <cell r="A301" t="str">
            <v>V34_S7</v>
          </cell>
          <cell r="B301">
            <v>3.3000000000000002E-2</v>
          </cell>
        </row>
        <row r="302">
          <cell r="A302" t="str">
            <v>V34_S8</v>
          </cell>
          <cell r="B302">
            <v>2.8840000000000001E-2</v>
          </cell>
        </row>
        <row r="303">
          <cell r="A303" t="str">
            <v>V34_S9</v>
          </cell>
          <cell r="B303">
            <v>3.5749999999999997E-2</v>
          </cell>
        </row>
        <row r="304">
          <cell r="A304" t="str">
            <v>V34_S10</v>
          </cell>
          <cell r="B304">
            <v>1.839E-2</v>
          </cell>
        </row>
        <row r="305">
          <cell r="A305" t="str">
            <v>V36_S1</v>
          </cell>
          <cell r="B305">
            <v>2.9139999999999999E-2</v>
          </cell>
        </row>
        <row r="306">
          <cell r="A306" t="str">
            <v>V36_S2</v>
          </cell>
          <cell r="B306">
            <v>1.6070000000000001E-2</v>
          </cell>
        </row>
        <row r="307">
          <cell r="A307" t="str">
            <v>V36_S3</v>
          </cell>
          <cell r="B307">
            <v>2.639E-2</v>
          </cell>
        </row>
        <row r="308">
          <cell r="A308" t="str">
            <v>V36_S5</v>
          </cell>
          <cell r="B308">
            <v>2.0650000000000002E-2</v>
          </cell>
        </row>
        <row r="309">
          <cell r="A309" t="str">
            <v>V36_S6</v>
          </cell>
          <cell r="B309">
            <v>2.563E-2</v>
          </cell>
        </row>
        <row r="310">
          <cell r="A310" t="str">
            <v>V36_S7</v>
          </cell>
          <cell r="B310">
            <v>2.4199999999999999E-2</v>
          </cell>
        </row>
        <row r="311">
          <cell r="A311" t="str">
            <v>V36_S8</v>
          </cell>
          <cell r="B311">
            <v>3.338E-2</v>
          </cell>
        </row>
        <row r="312">
          <cell r="A312" t="str">
            <v>V36_S9</v>
          </cell>
          <cell r="B312">
            <v>3.175E-2</v>
          </cell>
        </row>
        <row r="313">
          <cell r="A313" t="str">
            <v>V36_S10</v>
          </cell>
          <cell r="B313">
            <v>2.9229999999999999E-2</v>
          </cell>
        </row>
        <row r="314">
          <cell r="A314" t="str">
            <v>V36_S12</v>
          </cell>
          <cell r="B314">
            <v>2.9170000000000001E-2</v>
          </cell>
        </row>
        <row r="315">
          <cell r="A315" t="str">
            <v>V36_S13</v>
          </cell>
          <cell r="B315">
            <v>2.767E-2</v>
          </cell>
        </row>
        <row r="316">
          <cell r="A316" t="str">
            <v>V36_S14</v>
          </cell>
          <cell r="B316">
            <v>3.0890000000000001E-2</v>
          </cell>
        </row>
        <row r="317">
          <cell r="A317" t="str">
            <v>V36_S16</v>
          </cell>
          <cell r="B317">
            <v>3.0800000000000001E-2</v>
          </cell>
        </row>
        <row r="318">
          <cell r="A318" t="str">
            <v>V37_S1</v>
          </cell>
          <cell r="B318">
            <v>2.6679999999999999E-2</v>
          </cell>
        </row>
        <row r="319">
          <cell r="A319" t="str">
            <v>V37_S2</v>
          </cell>
          <cell r="B319">
            <v>3.517E-2</v>
          </cell>
        </row>
        <row r="320">
          <cell r="A320" t="str">
            <v>V37_S3</v>
          </cell>
          <cell r="B320">
            <v>3.1940000000000003E-2</v>
          </cell>
        </row>
        <row r="321">
          <cell r="A321" t="str">
            <v>V37_S4</v>
          </cell>
          <cell r="B321">
            <v>3.696E-2</v>
          </cell>
        </row>
        <row r="322">
          <cell r="A322" t="str">
            <v>V37_S6</v>
          </cell>
          <cell r="B322">
            <v>2.7609999999999999E-2</v>
          </cell>
        </row>
        <row r="323">
          <cell r="A323" t="str">
            <v>V37_S7</v>
          </cell>
          <cell r="B323">
            <v>3.1669999999999997E-2</v>
          </cell>
        </row>
        <row r="324">
          <cell r="A324" t="str">
            <v>V37_S8</v>
          </cell>
          <cell r="B324">
            <v>2.853E-2</v>
          </cell>
        </row>
        <row r="325">
          <cell r="A325" t="str">
            <v>V37_S9</v>
          </cell>
          <cell r="B325">
            <v>3.3570000000000003E-2</v>
          </cell>
        </row>
        <row r="326">
          <cell r="A326" t="str">
            <v>V37_S10</v>
          </cell>
          <cell r="B326">
            <v>2.5680000000000001E-2</v>
          </cell>
        </row>
        <row r="327">
          <cell r="A327" t="str">
            <v>V37_S11</v>
          </cell>
          <cell r="B327">
            <v>2.137E-2</v>
          </cell>
        </row>
        <row r="328">
          <cell r="A328" t="str">
            <v>V37_S12</v>
          </cell>
          <cell r="B328">
            <v>1.9720000000000001E-2</v>
          </cell>
        </row>
        <row r="329">
          <cell r="A329" t="str">
            <v>V37_S13</v>
          </cell>
          <cell r="B329">
            <v>2.0670000000000001E-2</v>
          </cell>
        </row>
        <row r="330">
          <cell r="A330" t="str">
            <v>V37_S15</v>
          </cell>
          <cell r="B330">
            <v>2.496E-2</v>
          </cell>
        </row>
        <row r="331">
          <cell r="A331" t="str">
            <v>V37_S16</v>
          </cell>
          <cell r="B331">
            <v>2.0990000000000002E-2</v>
          </cell>
        </row>
        <row r="332">
          <cell r="A332" t="str">
            <v>V38_S1</v>
          </cell>
          <cell r="B332">
            <v>1.5820000000000001E-2</v>
          </cell>
        </row>
        <row r="333">
          <cell r="A333" t="str">
            <v>V38_S2</v>
          </cell>
          <cell r="B333">
            <v>7.9799999999999992E-3</v>
          </cell>
        </row>
        <row r="334">
          <cell r="A334" t="str">
            <v>V38_S3</v>
          </cell>
          <cell r="B334">
            <v>7.26E-3</v>
          </cell>
        </row>
        <row r="335">
          <cell r="A335" t="str">
            <v>V38_S4</v>
          </cell>
          <cell r="B335">
            <v>6.2599999999999999E-3</v>
          </cell>
        </row>
        <row r="336">
          <cell r="A336" t="str">
            <v>V38_S5</v>
          </cell>
          <cell r="B336">
            <v>7.9100000000000004E-3</v>
          </cell>
        </row>
        <row r="337">
          <cell r="A337" t="str">
            <v>V38_S6</v>
          </cell>
          <cell r="B337">
            <v>9.1400000000000006E-3</v>
          </cell>
        </row>
        <row r="338">
          <cell r="A338" t="str">
            <v>V38_S7</v>
          </cell>
          <cell r="B338">
            <v>1.0279999999999999E-2</v>
          </cell>
        </row>
        <row r="339">
          <cell r="A339" t="str">
            <v>V38_S8</v>
          </cell>
          <cell r="B339">
            <v>6.5500000000000003E-3</v>
          </cell>
        </row>
        <row r="340">
          <cell r="A340" t="str">
            <v>V39_S2</v>
          </cell>
          <cell r="B340">
            <v>2.401E-2</v>
          </cell>
        </row>
        <row r="341">
          <cell r="A341" t="str">
            <v>V39_S3</v>
          </cell>
          <cell r="B341">
            <v>2.691E-2</v>
          </cell>
        </row>
        <row r="342">
          <cell r="A342" t="str">
            <v>V39_S4</v>
          </cell>
          <cell r="B342">
            <v>1.9310000000000001E-2</v>
          </cell>
        </row>
        <row r="343">
          <cell r="A343" t="str">
            <v>V39_S5</v>
          </cell>
          <cell r="B343">
            <v>2.2460000000000001E-2</v>
          </cell>
        </row>
        <row r="344">
          <cell r="A344" t="str">
            <v>V39_S6</v>
          </cell>
          <cell r="B344">
            <v>1.8020000000000001E-2</v>
          </cell>
        </row>
        <row r="345">
          <cell r="A345" t="str">
            <v>V39_S7</v>
          </cell>
          <cell r="B345">
            <v>2.3220000000000001E-2</v>
          </cell>
        </row>
        <row r="346">
          <cell r="A346" t="str">
            <v>V39_S8</v>
          </cell>
          <cell r="B346">
            <v>2.64E-2</v>
          </cell>
        </row>
        <row r="347">
          <cell r="A347" t="str">
            <v>V39_S9</v>
          </cell>
          <cell r="B347">
            <v>2.8459999999999999E-2</v>
          </cell>
        </row>
        <row r="348">
          <cell r="A348" t="str">
            <v>V39_S10</v>
          </cell>
          <cell r="B348">
            <v>2.6020000000000001E-2</v>
          </cell>
        </row>
        <row r="349">
          <cell r="A349" t="str">
            <v>V39_S11</v>
          </cell>
          <cell r="B349">
            <v>2.946E-2</v>
          </cell>
        </row>
        <row r="350">
          <cell r="A350" t="str">
            <v>V39_S12</v>
          </cell>
          <cell r="B350">
            <v>2.8309999999999998E-2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2"/>
  <sheetViews>
    <sheetView tabSelected="1" zoomScale="120" zoomScaleNormal="120" workbookViewId="0">
      <pane ySplit="1" topLeftCell="A82" activePane="bottomLeft" state="frozen"/>
      <selection pane="bottomLeft" activeCell="B151" sqref="B151:B161"/>
    </sheetView>
  </sheetViews>
  <sheetFormatPr baseColWidth="10" defaultColWidth="8.83203125" defaultRowHeight="15" x14ac:dyDescent="0.2"/>
  <cols>
    <col min="2" max="2" width="11.83203125" customWidth="1"/>
    <col min="5" max="5" width="17" customWidth="1"/>
    <col min="6" max="6" width="8.83203125" style="1" customWidth="1"/>
    <col min="7" max="7" width="5.5" style="1" customWidth="1"/>
    <col min="12" max="12" width="21.6640625" customWidth="1"/>
    <col min="13" max="13" width="23.33203125" customWidth="1"/>
    <col min="14" max="14" width="17.5" customWidth="1"/>
    <col min="15" max="15" width="9.33203125" customWidth="1"/>
    <col min="16" max="16" width="12.83203125" customWidth="1"/>
    <col min="17" max="17" width="12" customWidth="1"/>
    <col min="18" max="18" width="10.83203125" customWidth="1"/>
  </cols>
  <sheetData>
    <row r="1" spans="1:19" s="9" customFormat="1" ht="48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</row>
    <row r="2" spans="1:19" x14ac:dyDescent="0.2">
      <c r="A2" s="41" t="s">
        <v>19</v>
      </c>
      <c r="B2" s="41">
        <v>159280</v>
      </c>
      <c r="C2" s="41" t="s">
        <v>20</v>
      </c>
      <c r="D2" s="41" t="s">
        <v>21</v>
      </c>
      <c r="E2" s="41" t="s">
        <v>22</v>
      </c>
      <c r="F2" s="41">
        <v>2019</v>
      </c>
      <c r="G2" s="41">
        <v>67</v>
      </c>
      <c r="H2" s="41" t="s">
        <v>23</v>
      </c>
      <c r="I2" s="41" t="s">
        <v>24</v>
      </c>
      <c r="J2" s="41" t="s">
        <v>25</v>
      </c>
      <c r="K2" s="41" t="s">
        <v>26</v>
      </c>
      <c r="L2" s="41" t="s">
        <v>27</v>
      </c>
      <c r="M2" s="41" t="s">
        <v>28</v>
      </c>
      <c r="N2" s="41" t="s">
        <v>29</v>
      </c>
      <c r="O2" s="42">
        <v>2019</v>
      </c>
      <c r="P2" s="41" t="s">
        <v>30</v>
      </c>
      <c r="Q2" s="41" t="s">
        <v>31</v>
      </c>
      <c r="R2" s="41" t="s">
        <v>32</v>
      </c>
      <c r="S2" t="s">
        <v>33</v>
      </c>
    </row>
    <row r="3" spans="1:19" x14ac:dyDescent="0.2">
      <c r="A3" s="41" t="s">
        <v>34</v>
      </c>
      <c r="B3" s="41">
        <v>159809</v>
      </c>
      <c r="C3" s="41" t="s">
        <v>20</v>
      </c>
      <c r="D3" s="41" t="s">
        <v>21</v>
      </c>
      <c r="E3" s="41" t="s">
        <v>22</v>
      </c>
      <c r="F3" s="41">
        <v>2019</v>
      </c>
      <c r="G3" s="41">
        <v>53</v>
      </c>
      <c r="H3" s="41" t="s">
        <v>35</v>
      </c>
      <c r="I3" s="41" t="s">
        <v>25</v>
      </c>
      <c r="J3" s="41" t="s">
        <v>24</v>
      </c>
      <c r="K3" s="41" t="s">
        <v>26</v>
      </c>
      <c r="L3" s="41" t="s">
        <v>27</v>
      </c>
      <c r="M3" s="41" t="s">
        <v>28</v>
      </c>
      <c r="N3" s="41" t="s">
        <v>36</v>
      </c>
      <c r="O3" s="41">
        <v>2019</v>
      </c>
      <c r="P3" s="41" t="s">
        <v>30</v>
      </c>
      <c r="Q3" s="41" t="s">
        <v>31</v>
      </c>
      <c r="R3" s="41" t="s">
        <v>32</v>
      </c>
      <c r="S3" t="s">
        <v>33</v>
      </c>
    </row>
    <row r="4" spans="1:19" x14ac:dyDescent="0.2">
      <c r="A4" s="41" t="s">
        <v>37</v>
      </c>
      <c r="B4" s="41">
        <v>160425</v>
      </c>
      <c r="C4" s="41" t="s">
        <v>20</v>
      </c>
      <c r="D4" s="41" t="s">
        <v>21</v>
      </c>
      <c r="E4" s="41" t="s">
        <v>22</v>
      </c>
      <c r="F4" s="41">
        <v>2020</v>
      </c>
      <c r="G4" s="41">
        <v>51</v>
      </c>
      <c r="H4" s="41" t="s">
        <v>35</v>
      </c>
      <c r="I4" s="41" t="s">
        <v>38</v>
      </c>
      <c r="J4" s="41" t="s">
        <v>24</v>
      </c>
      <c r="K4" s="41" t="s">
        <v>26</v>
      </c>
      <c r="L4" s="41" t="s">
        <v>27</v>
      </c>
      <c r="M4" s="41" t="s">
        <v>28</v>
      </c>
      <c r="N4" s="41" t="s">
        <v>39</v>
      </c>
      <c r="O4" s="41">
        <v>2020</v>
      </c>
      <c r="P4" s="41" t="s">
        <v>30</v>
      </c>
      <c r="Q4" s="41" t="s">
        <v>31</v>
      </c>
      <c r="R4" s="41" t="s">
        <v>32</v>
      </c>
      <c r="S4" t="s">
        <v>33</v>
      </c>
    </row>
    <row r="5" spans="1:19" x14ac:dyDescent="0.2">
      <c r="A5" s="41" t="s">
        <v>40</v>
      </c>
      <c r="B5" s="41">
        <v>160527</v>
      </c>
      <c r="C5" s="41" t="s">
        <v>20</v>
      </c>
      <c r="D5" s="41" t="s">
        <v>41</v>
      </c>
      <c r="E5" s="41" t="s">
        <v>22</v>
      </c>
      <c r="F5" s="41">
        <v>2020</v>
      </c>
      <c r="G5" s="41">
        <v>58</v>
      </c>
      <c r="H5" s="41" t="s">
        <v>35</v>
      </c>
      <c r="I5" s="41" t="s">
        <v>42</v>
      </c>
      <c r="J5" s="41" t="s">
        <v>42</v>
      </c>
      <c r="K5" s="41" t="s">
        <v>26</v>
      </c>
      <c r="L5" s="41" t="s">
        <v>27</v>
      </c>
      <c r="M5" s="41" t="s">
        <v>28</v>
      </c>
      <c r="N5" s="41" t="s">
        <v>36</v>
      </c>
      <c r="O5" s="41">
        <v>2019</v>
      </c>
      <c r="P5" s="41" t="s">
        <v>30</v>
      </c>
      <c r="Q5" s="41" t="s">
        <v>31</v>
      </c>
      <c r="R5" s="41" t="s">
        <v>32</v>
      </c>
      <c r="S5" t="s">
        <v>33</v>
      </c>
    </row>
    <row r="6" spans="1:19" x14ac:dyDescent="0.2">
      <c r="A6" s="41" t="s">
        <v>43</v>
      </c>
      <c r="B6" s="41">
        <v>165652</v>
      </c>
      <c r="C6" s="41" t="s">
        <v>20</v>
      </c>
      <c r="D6" s="41" t="s">
        <v>21</v>
      </c>
      <c r="E6" s="41" t="s">
        <v>22</v>
      </c>
      <c r="F6" s="41">
        <v>2021</v>
      </c>
      <c r="G6" s="41">
        <v>33</v>
      </c>
      <c r="H6" s="41" t="s">
        <v>44</v>
      </c>
      <c r="I6" s="41" t="s">
        <v>24</v>
      </c>
      <c r="J6" s="41" t="s">
        <v>24</v>
      </c>
      <c r="K6" s="41" t="s">
        <v>26</v>
      </c>
      <c r="L6" s="41" t="s">
        <v>27</v>
      </c>
      <c r="M6" s="41" t="s">
        <v>28</v>
      </c>
      <c r="N6" s="41" t="s">
        <v>39</v>
      </c>
      <c r="O6" s="41">
        <v>2021</v>
      </c>
      <c r="P6" s="41" t="s">
        <v>30</v>
      </c>
      <c r="Q6" s="41" t="s">
        <v>31</v>
      </c>
      <c r="R6" s="41" t="s">
        <v>32</v>
      </c>
      <c r="S6" t="s">
        <v>33</v>
      </c>
    </row>
    <row r="7" spans="1:19" x14ac:dyDescent="0.2">
      <c r="A7" s="41" t="s">
        <v>45</v>
      </c>
      <c r="B7" s="41">
        <v>166157</v>
      </c>
      <c r="C7" s="41" t="s">
        <v>20</v>
      </c>
      <c r="D7" s="41" t="s">
        <v>21</v>
      </c>
      <c r="E7" s="41" t="s">
        <v>22</v>
      </c>
      <c r="F7" s="41">
        <v>2021</v>
      </c>
      <c r="G7" s="41">
        <v>71</v>
      </c>
      <c r="H7" s="41" t="s">
        <v>46</v>
      </c>
      <c r="I7" s="41" t="s">
        <v>32</v>
      </c>
      <c r="J7" s="41" t="s">
        <v>47</v>
      </c>
      <c r="K7" s="41" t="s">
        <v>26</v>
      </c>
      <c r="L7" s="41" t="s">
        <v>27</v>
      </c>
      <c r="M7" s="41" t="s">
        <v>28</v>
      </c>
      <c r="N7" s="41" t="s">
        <v>36</v>
      </c>
      <c r="O7" s="41">
        <v>2021</v>
      </c>
      <c r="P7" s="41" t="s">
        <v>30</v>
      </c>
      <c r="Q7" s="41" t="s">
        <v>31</v>
      </c>
      <c r="R7" s="41" t="s">
        <v>32</v>
      </c>
      <c r="S7" t="s">
        <v>33</v>
      </c>
    </row>
    <row r="8" spans="1:19" x14ac:dyDescent="0.2">
      <c r="A8" s="41" t="s">
        <v>48</v>
      </c>
      <c r="B8" s="41">
        <v>166567</v>
      </c>
      <c r="C8" s="41" t="s">
        <v>20</v>
      </c>
      <c r="D8" s="41" t="s">
        <v>21</v>
      </c>
      <c r="E8" s="41" t="s">
        <v>22</v>
      </c>
      <c r="F8" s="41">
        <v>2022</v>
      </c>
      <c r="G8" s="41">
        <v>58</v>
      </c>
      <c r="H8" s="41" t="s">
        <v>35</v>
      </c>
      <c r="I8" s="41" t="s">
        <v>24</v>
      </c>
      <c r="J8" s="41" t="s">
        <v>24</v>
      </c>
      <c r="K8" s="41" t="s">
        <v>26</v>
      </c>
      <c r="L8" s="41" t="s">
        <v>27</v>
      </c>
      <c r="M8" s="41" t="s">
        <v>28</v>
      </c>
      <c r="N8" s="41" t="s">
        <v>49</v>
      </c>
      <c r="O8" s="41">
        <v>2022</v>
      </c>
      <c r="P8" s="41" t="s">
        <v>30</v>
      </c>
      <c r="Q8" s="41" t="s">
        <v>31</v>
      </c>
      <c r="R8" s="41" t="s">
        <v>32</v>
      </c>
      <c r="S8" t="s">
        <v>33</v>
      </c>
    </row>
    <row r="9" spans="1:19" x14ac:dyDescent="0.2">
      <c r="A9" s="41" t="s">
        <v>50</v>
      </c>
      <c r="B9" s="41">
        <v>166900</v>
      </c>
      <c r="C9" s="41" t="s">
        <v>51</v>
      </c>
      <c r="D9" s="41" t="s">
        <v>21</v>
      </c>
      <c r="E9" s="41" t="s">
        <v>22</v>
      </c>
      <c r="F9" s="41">
        <v>2022</v>
      </c>
      <c r="G9" s="41">
        <v>56</v>
      </c>
      <c r="H9" s="41" t="s">
        <v>35</v>
      </c>
      <c r="I9" s="41" t="s">
        <v>24</v>
      </c>
      <c r="J9" s="41" t="s">
        <v>24</v>
      </c>
      <c r="K9" s="41" t="s">
        <v>26</v>
      </c>
      <c r="L9" s="41" t="s">
        <v>27</v>
      </c>
      <c r="M9" s="41" t="s">
        <v>28</v>
      </c>
      <c r="N9" s="41" t="s">
        <v>29</v>
      </c>
      <c r="O9" s="41">
        <v>2022</v>
      </c>
      <c r="P9" s="41" t="s">
        <v>30</v>
      </c>
      <c r="Q9" s="41" t="s">
        <v>31</v>
      </c>
      <c r="R9" s="41" t="s">
        <v>32</v>
      </c>
      <c r="S9" t="s">
        <v>33</v>
      </c>
    </row>
    <row r="10" spans="1:19" x14ac:dyDescent="0.2">
      <c r="A10" s="41" t="s">
        <v>52</v>
      </c>
      <c r="B10" s="41">
        <v>167424</v>
      </c>
      <c r="C10" s="41" t="s">
        <v>20</v>
      </c>
      <c r="D10" s="41" t="s">
        <v>21</v>
      </c>
      <c r="E10" s="41" t="s">
        <v>22</v>
      </c>
      <c r="F10" s="41">
        <v>2022</v>
      </c>
      <c r="G10" s="41">
        <v>74</v>
      </c>
      <c r="H10" s="41" t="s">
        <v>46</v>
      </c>
      <c r="I10" s="41" t="s">
        <v>25</v>
      </c>
      <c r="J10" s="41" t="s">
        <v>24</v>
      </c>
      <c r="K10" s="41" t="s">
        <v>26</v>
      </c>
      <c r="L10" s="41" t="s">
        <v>27</v>
      </c>
      <c r="M10" s="41" t="s">
        <v>28</v>
      </c>
      <c r="N10" s="41" t="s">
        <v>36</v>
      </c>
      <c r="O10" s="41">
        <v>2022</v>
      </c>
      <c r="P10" s="41" t="s">
        <v>30</v>
      </c>
      <c r="Q10" s="41" t="s">
        <v>31</v>
      </c>
      <c r="R10" s="41" t="s">
        <v>32</v>
      </c>
      <c r="S10" t="s">
        <v>33</v>
      </c>
    </row>
    <row r="11" spans="1:19" x14ac:dyDescent="0.2">
      <c r="A11" s="41" t="s">
        <v>53</v>
      </c>
      <c r="B11" s="41">
        <v>143592</v>
      </c>
      <c r="C11" s="41" t="s">
        <v>20</v>
      </c>
      <c r="D11" s="41" t="s">
        <v>21</v>
      </c>
      <c r="E11" s="41" t="s">
        <v>22</v>
      </c>
      <c r="F11" s="41">
        <v>2015</v>
      </c>
      <c r="G11" s="41">
        <v>51</v>
      </c>
      <c r="H11" s="41" t="s">
        <v>35</v>
      </c>
      <c r="I11" s="41" t="s">
        <v>54</v>
      </c>
      <c r="J11" s="41" t="s">
        <v>32</v>
      </c>
      <c r="K11" s="41" t="s">
        <v>26</v>
      </c>
      <c r="L11" s="41" t="s">
        <v>27</v>
      </c>
      <c r="M11" s="41" t="s">
        <v>28</v>
      </c>
      <c r="N11" s="41" t="s">
        <v>55</v>
      </c>
      <c r="O11" s="41">
        <v>2015</v>
      </c>
      <c r="P11" s="41" t="s">
        <v>30</v>
      </c>
      <c r="Q11" s="41" t="s">
        <v>657</v>
      </c>
      <c r="R11" s="41" t="s">
        <v>32</v>
      </c>
      <c r="S11" t="s">
        <v>33</v>
      </c>
    </row>
    <row r="12" spans="1:19" x14ac:dyDescent="0.2">
      <c r="A12" s="41" t="s">
        <v>56</v>
      </c>
      <c r="B12" s="41">
        <v>109536</v>
      </c>
      <c r="C12" s="41" t="s">
        <v>51</v>
      </c>
      <c r="D12" s="41" t="s">
        <v>41</v>
      </c>
      <c r="E12" s="41" t="s">
        <v>22</v>
      </c>
      <c r="F12" s="41">
        <v>2005</v>
      </c>
      <c r="G12" s="41">
        <v>52</v>
      </c>
      <c r="H12" s="41" t="s">
        <v>35</v>
      </c>
      <c r="I12" s="41">
        <v>4</v>
      </c>
      <c r="J12" s="41">
        <v>4</v>
      </c>
      <c r="K12" s="41" t="s">
        <v>26</v>
      </c>
      <c r="L12" s="41" t="s">
        <v>27</v>
      </c>
      <c r="M12" s="41" t="s">
        <v>57</v>
      </c>
      <c r="N12" s="41" t="s">
        <v>29</v>
      </c>
      <c r="O12" s="41">
        <v>2005</v>
      </c>
      <c r="P12" s="41" t="s">
        <v>30</v>
      </c>
      <c r="Q12" s="41" t="s">
        <v>657</v>
      </c>
      <c r="R12" s="41" t="s">
        <v>32</v>
      </c>
      <c r="S12" t="s">
        <v>33</v>
      </c>
    </row>
    <row r="13" spans="1:19" x14ac:dyDescent="0.2">
      <c r="A13" s="41" t="s">
        <v>58</v>
      </c>
      <c r="B13" s="41">
        <v>108156</v>
      </c>
      <c r="C13" s="41" t="s">
        <v>51</v>
      </c>
      <c r="D13" s="41" t="s">
        <v>21</v>
      </c>
      <c r="E13" s="41" t="s">
        <v>22</v>
      </c>
      <c r="F13" s="41">
        <v>2004</v>
      </c>
      <c r="G13" s="41">
        <v>54</v>
      </c>
      <c r="H13" s="41" t="s">
        <v>35</v>
      </c>
      <c r="I13" s="41" t="s">
        <v>25</v>
      </c>
      <c r="J13" s="41" t="s">
        <v>32</v>
      </c>
      <c r="K13" s="41" t="s">
        <v>26</v>
      </c>
      <c r="L13" s="41" t="s">
        <v>27</v>
      </c>
      <c r="M13" s="41" t="s">
        <v>28</v>
      </c>
      <c r="N13" s="41" t="s">
        <v>59</v>
      </c>
      <c r="O13" s="41">
        <v>2004</v>
      </c>
      <c r="P13" s="41" t="s">
        <v>30</v>
      </c>
      <c r="Q13" s="41" t="s">
        <v>657</v>
      </c>
      <c r="R13" s="41" t="s">
        <v>32</v>
      </c>
      <c r="S13" t="s">
        <v>33</v>
      </c>
    </row>
    <row r="14" spans="1:19" x14ac:dyDescent="0.2">
      <c r="A14" s="41" t="s">
        <v>60</v>
      </c>
      <c r="B14" s="41">
        <v>140652</v>
      </c>
      <c r="C14" s="41" t="s">
        <v>51</v>
      </c>
      <c r="D14" s="41" t="s">
        <v>21</v>
      </c>
      <c r="E14" s="41" t="s">
        <v>22</v>
      </c>
      <c r="F14" s="41">
        <v>2014</v>
      </c>
      <c r="G14" s="41">
        <v>58</v>
      </c>
      <c r="H14" s="41" t="s">
        <v>35</v>
      </c>
      <c r="I14" s="41" t="s">
        <v>25</v>
      </c>
      <c r="J14" s="41">
        <v>1</v>
      </c>
      <c r="K14" s="41" t="s">
        <v>26</v>
      </c>
      <c r="L14" s="41" t="s">
        <v>27</v>
      </c>
      <c r="M14" s="41" t="s">
        <v>28</v>
      </c>
      <c r="N14" s="41" t="s">
        <v>61</v>
      </c>
      <c r="O14" s="41">
        <v>2014</v>
      </c>
      <c r="P14" s="41" t="s">
        <v>30</v>
      </c>
      <c r="Q14" s="41" t="s">
        <v>657</v>
      </c>
      <c r="R14" s="41" t="s">
        <v>32</v>
      </c>
      <c r="S14" t="s">
        <v>33</v>
      </c>
    </row>
    <row r="15" spans="1:19" x14ac:dyDescent="0.2">
      <c r="A15" s="41" t="s">
        <v>62</v>
      </c>
      <c r="B15" s="41">
        <v>110349</v>
      </c>
      <c r="C15" s="41" t="s">
        <v>20</v>
      </c>
      <c r="D15" s="41" t="s">
        <v>21</v>
      </c>
      <c r="E15" s="41" t="s">
        <v>22</v>
      </c>
      <c r="F15" s="41">
        <v>2005</v>
      </c>
      <c r="G15" s="41">
        <v>60</v>
      </c>
      <c r="H15" s="41" t="s">
        <v>23</v>
      </c>
      <c r="I15" s="41" t="s">
        <v>25</v>
      </c>
      <c r="J15" s="41" t="s">
        <v>32</v>
      </c>
      <c r="K15" s="41" t="s">
        <v>26</v>
      </c>
      <c r="L15" s="41" t="s">
        <v>27</v>
      </c>
      <c r="M15" s="41" t="s">
        <v>28</v>
      </c>
      <c r="N15" s="41" t="s">
        <v>36</v>
      </c>
      <c r="O15" s="41">
        <v>2005</v>
      </c>
      <c r="P15" s="41" t="s">
        <v>30</v>
      </c>
      <c r="Q15" s="41" t="s">
        <v>657</v>
      </c>
      <c r="R15" s="41" t="s">
        <v>32</v>
      </c>
      <c r="S15" t="s">
        <v>33</v>
      </c>
    </row>
    <row r="16" spans="1:19" x14ac:dyDescent="0.2">
      <c r="A16" s="41" t="s">
        <v>63</v>
      </c>
      <c r="B16" s="41">
        <v>110288</v>
      </c>
      <c r="C16" s="41" t="s">
        <v>20</v>
      </c>
      <c r="D16" s="41" t="s">
        <v>21</v>
      </c>
      <c r="E16" s="41" t="s">
        <v>22</v>
      </c>
      <c r="F16" s="41">
        <v>2005</v>
      </c>
      <c r="G16" s="41">
        <v>60</v>
      </c>
      <c r="H16" s="41" t="s">
        <v>23</v>
      </c>
      <c r="I16" s="41">
        <v>4</v>
      </c>
      <c r="J16" s="41">
        <v>4</v>
      </c>
      <c r="K16" s="41" t="s">
        <v>26</v>
      </c>
      <c r="L16" s="41" t="s">
        <v>27</v>
      </c>
      <c r="M16" s="41" t="s">
        <v>28</v>
      </c>
      <c r="N16" s="41" t="s">
        <v>64</v>
      </c>
      <c r="O16" s="41">
        <v>2005</v>
      </c>
      <c r="P16" s="41" t="s">
        <v>30</v>
      </c>
      <c r="Q16" s="41" t="s">
        <v>657</v>
      </c>
      <c r="R16" s="41" t="s">
        <v>32</v>
      </c>
      <c r="S16" t="s">
        <v>33</v>
      </c>
    </row>
    <row r="17" spans="1:19" x14ac:dyDescent="0.2">
      <c r="A17" s="41" t="s">
        <v>65</v>
      </c>
      <c r="B17" s="41">
        <v>116302</v>
      </c>
      <c r="C17" s="41" t="s">
        <v>20</v>
      </c>
      <c r="D17" s="41" t="s">
        <v>21</v>
      </c>
      <c r="E17" s="41" t="s">
        <v>66</v>
      </c>
      <c r="F17" s="41">
        <v>2008</v>
      </c>
      <c r="G17" s="41">
        <v>60</v>
      </c>
      <c r="H17" s="41" t="s">
        <v>23</v>
      </c>
      <c r="I17" s="41" t="s">
        <v>25</v>
      </c>
      <c r="J17" s="41" t="s">
        <v>32</v>
      </c>
      <c r="K17" s="41" t="s">
        <v>26</v>
      </c>
      <c r="L17" s="41" t="s">
        <v>27</v>
      </c>
      <c r="M17" s="41" t="s">
        <v>28</v>
      </c>
      <c r="N17" s="41" t="s">
        <v>36</v>
      </c>
      <c r="O17" s="41">
        <v>2008</v>
      </c>
      <c r="P17" s="41" t="s">
        <v>30</v>
      </c>
      <c r="Q17" s="41" t="s">
        <v>657</v>
      </c>
      <c r="R17" s="41" t="s">
        <v>32</v>
      </c>
      <c r="S17" t="s">
        <v>33</v>
      </c>
    </row>
    <row r="18" spans="1:19" x14ac:dyDescent="0.2">
      <c r="A18" s="41" t="s">
        <v>67</v>
      </c>
      <c r="B18" s="41">
        <v>119244</v>
      </c>
      <c r="C18" s="41" t="s">
        <v>20</v>
      </c>
      <c r="D18" s="41" t="s">
        <v>21</v>
      </c>
      <c r="E18" s="41" t="s">
        <v>22</v>
      </c>
      <c r="F18" s="41">
        <v>2009</v>
      </c>
      <c r="G18" s="41">
        <v>62</v>
      </c>
      <c r="H18" s="41" t="s">
        <v>23</v>
      </c>
      <c r="I18" s="41" t="s">
        <v>25</v>
      </c>
      <c r="J18" s="41" t="s">
        <v>32</v>
      </c>
      <c r="K18" s="41" t="s">
        <v>26</v>
      </c>
      <c r="L18" s="41" t="s">
        <v>27</v>
      </c>
      <c r="M18" s="41" t="s">
        <v>28</v>
      </c>
      <c r="N18" s="41" t="s">
        <v>36</v>
      </c>
      <c r="O18" s="41">
        <v>2009</v>
      </c>
      <c r="P18" s="41" t="s">
        <v>30</v>
      </c>
      <c r="Q18" s="41" t="s">
        <v>657</v>
      </c>
      <c r="R18" s="41" t="s">
        <v>32</v>
      </c>
      <c r="S18" t="s">
        <v>33</v>
      </c>
    </row>
    <row r="19" spans="1:19" x14ac:dyDescent="0.2">
      <c r="A19" s="41" t="s">
        <v>68</v>
      </c>
      <c r="B19" s="41">
        <v>118683</v>
      </c>
      <c r="C19" s="41" t="s">
        <v>20</v>
      </c>
      <c r="D19" s="41" t="s">
        <v>21</v>
      </c>
      <c r="E19" s="41" t="s">
        <v>22</v>
      </c>
      <c r="F19" s="41">
        <v>2009</v>
      </c>
      <c r="G19" s="41">
        <v>63</v>
      </c>
      <c r="H19" s="41" t="s">
        <v>23</v>
      </c>
      <c r="I19" s="41" t="s">
        <v>25</v>
      </c>
      <c r="J19" s="41" t="s">
        <v>25</v>
      </c>
      <c r="K19" s="41" t="s">
        <v>26</v>
      </c>
      <c r="L19" s="41" t="s">
        <v>27</v>
      </c>
      <c r="M19" s="41" t="s">
        <v>28</v>
      </c>
      <c r="N19" s="41" t="s">
        <v>36</v>
      </c>
      <c r="O19" s="41">
        <v>2008</v>
      </c>
      <c r="P19" s="41" t="s">
        <v>30</v>
      </c>
      <c r="Q19" s="41" t="s">
        <v>657</v>
      </c>
      <c r="R19" s="41" t="s">
        <v>32</v>
      </c>
      <c r="S19" t="s">
        <v>33</v>
      </c>
    </row>
    <row r="20" spans="1:19" x14ac:dyDescent="0.2">
      <c r="A20" s="41" t="s">
        <v>69</v>
      </c>
      <c r="B20" s="41">
        <v>113567</v>
      </c>
      <c r="C20" s="41" t="s">
        <v>51</v>
      </c>
      <c r="D20" s="41" t="s">
        <v>21</v>
      </c>
      <c r="E20" s="41" t="s">
        <v>22</v>
      </c>
      <c r="F20" s="41">
        <v>2007</v>
      </c>
      <c r="G20" s="41">
        <v>65</v>
      </c>
      <c r="H20" s="41" t="s">
        <v>23</v>
      </c>
      <c r="I20" s="41">
        <v>4</v>
      </c>
      <c r="J20" s="41">
        <v>4</v>
      </c>
      <c r="K20" s="41" t="s">
        <v>26</v>
      </c>
      <c r="L20" s="41" t="s">
        <v>27</v>
      </c>
      <c r="M20" s="41" t="s">
        <v>28</v>
      </c>
      <c r="N20" s="41" t="s">
        <v>29</v>
      </c>
      <c r="O20" s="41">
        <v>2007</v>
      </c>
      <c r="P20" s="41" t="s">
        <v>30</v>
      </c>
      <c r="Q20" s="41" t="s">
        <v>657</v>
      </c>
      <c r="R20" s="41" t="s">
        <v>32</v>
      </c>
      <c r="S20" t="s">
        <v>33</v>
      </c>
    </row>
    <row r="21" spans="1:19" x14ac:dyDescent="0.2">
      <c r="A21" s="41" t="s">
        <v>70</v>
      </c>
      <c r="B21" s="41">
        <v>120506</v>
      </c>
      <c r="C21" s="41" t="s">
        <v>20</v>
      </c>
      <c r="D21" s="41" t="s">
        <v>21</v>
      </c>
      <c r="E21" s="41" t="s">
        <v>66</v>
      </c>
      <c r="F21" s="41">
        <v>2009</v>
      </c>
      <c r="G21" s="41">
        <v>68</v>
      </c>
      <c r="H21" s="41" t="s">
        <v>23</v>
      </c>
      <c r="I21" s="41" t="s">
        <v>25</v>
      </c>
      <c r="J21" s="41" t="s">
        <v>32</v>
      </c>
      <c r="K21" s="41" t="s">
        <v>26</v>
      </c>
      <c r="L21" s="41" t="s">
        <v>27</v>
      </c>
      <c r="M21" s="41" t="s">
        <v>28</v>
      </c>
      <c r="N21" s="41" t="s">
        <v>39</v>
      </c>
      <c r="O21" s="41">
        <v>2009</v>
      </c>
      <c r="P21" s="41" t="s">
        <v>30</v>
      </c>
      <c r="Q21" s="41" t="s">
        <v>657</v>
      </c>
      <c r="R21" s="41" t="s">
        <v>32</v>
      </c>
      <c r="S21" t="s">
        <v>33</v>
      </c>
    </row>
    <row r="22" spans="1:19" x14ac:dyDescent="0.2">
      <c r="A22" s="41" t="s">
        <v>71</v>
      </c>
      <c r="B22" s="41">
        <v>109387</v>
      </c>
      <c r="C22" s="41" t="s">
        <v>20</v>
      </c>
      <c r="D22" s="41" t="s">
        <v>21</v>
      </c>
      <c r="E22" s="41" t="s">
        <v>22</v>
      </c>
      <c r="F22" s="41">
        <v>2005</v>
      </c>
      <c r="G22" s="41">
        <v>75</v>
      </c>
      <c r="H22" s="41" t="s">
        <v>46</v>
      </c>
      <c r="I22" s="41" t="s">
        <v>25</v>
      </c>
      <c r="J22" s="41" t="s">
        <v>24</v>
      </c>
      <c r="K22" s="41" t="s">
        <v>26</v>
      </c>
      <c r="L22" s="41" t="s">
        <v>27</v>
      </c>
      <c r="M22" s="41" t="s">
        <v>28</v>
      </c>
      <c r="N22" s="41" t="s">
        <v>36</v>
      </c>
      <c r="O22" s="41">
        <v>2005</v>
      </c>
      <c r="P22" s="41" t="s">
        <v>30</v>
      </c>
      <c r="Q22" s="41" t="s">
        <v>657</v>
      </c>
      <c r="R22" s="41" t="s">
        <v>32</v>
      </c>
      <c r="S22" t="s">
        <v>33</v>
      </c>
    </row>
    <row r="23" spans="1:19" x14ac:dyDescent="0.2">
      <c r="A23" s="41" t="s">
        <v>72</v>
      </c>
      <c r="B23" s="41">
        <v>113270</v>
      </c>
      <c r="C23" s="41" t="s">
        <v>20</v>
      </c>
      <c r="D23" s="41" t="s">
        <v>21</v>
      </c>
      <c r="E23" s="41" t="s">
        <v>22</v>
      </c>
      <c r="F23" s="41">
        <v>2007</v>
      </c>
      <c r="G23" s="41">
        <v>82</v>
      </c>
      <c r="H23" s="41" t="s">
        <v>73</v>
      </c>
      <c r="I23" s="41" t="s">
        <v>42</v>
      </c>
      <c r="J23" s="41" t="s">
        <v>32</v>
      </c>
      <c r="K23" s="41" t="s">
        <v>26</v>
      </c>
      <c r="L23" s="41" t="s">
        <v>27</v>
      </c>
      <c r="M23" s="41" t="s">
        <v>28</v>
      </c>
      <c r="N23" s="41" t="s">
        <v>29</v>
      </c>
      <c r="O23" s="41">
        <v>2007</v>
      </c>
      <c r="P23" s="41" t="s">
        <v>30</v>
      </c>
      <c r="Q23" s="41" t="s">
        <v>657</v>
      </c>
      <c r="R23" s="41" t="s">
        <v>32</v>
      </c>
      <c r="S23" t="s">
        <v>33</v>
      </c>
    </row>
    <row r="24" spans="1:19" x14ac:dyDescent="0.2">
      <c r="A24" s="41" t="s">
        <v>74</v>
      </c>
      <c r="B24" s="41" t="s">
        <v>75</v>
      </c>
      <c r="C24" s="41" t="s">
        <v>51</v>
      </c>
      <c r="D24" s="41" t="s">
        <v>21</v>
      </c>
      <c r="E24" s="41" t="s">
        <v>22</v>
      </c>
      <c r="F24" s="41" t="s">
        <v>32</v>
      </c>
      <c r="G24" s="41">
        <v>59</v>
      </c>
      <c r="H24" s="41" t="s">
        <v>35</v>
      </c>
      <c r="I24" s="41" t="s">
        <v>76</v>
      </c>
      <c r="J24" s="41" t="s">
        <v>32</v>
      </c>
      <c r="K24" s="41" t="s">
        <v>26</v>
      </c>
      <c r="L24" s="41" t="s">
        <v>27</v>
      </c>
      <c r="M24" s="41" t="s">
        <v>32</v>
      </c>
      <c r="N24" s="41" t="s">
        <v>77</v>
      </c>
      <c r="O24" s="41" t="s">
        <v>32</v>
      </c>
      <c r="P24" s="41" t="s">
        <v>78</v>
      </c>
      <c r="Q24" s="41"/>
      <c r="R24" s="41">
        <v>2.5</v>
      </c>
      <c r="S24" t="s">
        <v>33</v>
      </c>
    </row>
    <row r="25" spans="1:19" x14ac:dyDescent="0.2">
      <c r="A25" s="41" t="s">
        <v>79</v>
      </c>
      <c r="B25" s="41">
        <v>167592</v>
      </c>
      <c r="C25" s="43" t="s">
        <v>51</v>
      </c>
      <c r="D25" s="43" t="s">
        <v>21</v>
      </c>
      <c r="E25" s="43" t="s">
        <v>22</v>
      </c>
      <c r="F25" s="42">
        <v>2022</v>
      </c>
      <c r="G25" s="42">
        <v>61</v>
      </c>
      <c r="H25" s="44" t="s">
        <v>23</v>
      </c>
      <c r="I25" s="43" t="s">
        <v>25</v>
      </c>
      <c r="J25" s="45" t="s">
        <v>24</v>
      </c>
      <c r="K25" s="41" t="s">
        <v>26</v>
      </c>
      <c r="L25" s="41" t="s">
        <v>27</v>
      </c>
      <c r="M25" s="43" t="s">
        <v>28</v>
      </c>
      <c r="N25" s="43" t="s">
        <v>80</v>
      </c>
      <c r="O25" s="42">
        <v>2022</v>
      </c>
      <c r="P25" s="41" t="s">
        <v>30</v>
      </c>
      <c r="Q25" s="41"/>
      <c r="R25" s="41" t="s">
        <v>32</v>
      </c>
      <c r="S25" t="s">
        <v>33</v>
      </c>
    </row>
    <row r="26" spans="1:19" x14ac:dyDescent="0.2">
      <c r="A26" s="41" t="s">
        <v>81</v>
      </c>
      <c r="B26" s="41">
        <v>110229</v>
      </c>
      <c r="C26" s="41" t="s">
        <v>20</v>
      </c>
      <c r="D26" s="41" t="s">
        <v>21</v>
      </c>
      <c r="E26" s="41" t="s">
        <v>22</v>
      </c>
      <c r="F26" s="41">
        <v>2005</v>
      </c>
      <c r="G26" s="41">
        <v>72</v>
      </c>
      <c r="H26" s="41" t="s">
        <v>46</v>
      </c>
      <c r="I26" s="41">
        <v>4</v>
      </c>
      <c r="J26" s="41" t="s">
        <v>32</v>
      </c>
      <c r="K26" s="41" t="s">
        <v>26</v>
      </c>
      <c r="L26" s="41" t="s">
        <v>27</v>
      </c>
      <c r="M26" s="41" t="s">
        <v>28</v>
      </c>
      <c r="N26" s="41" t="s">
        <v>82</v>
      </c>
      <c r="O26" s="41">
        <v>2005</v>
      </c>
      <c r="P26" s="41" t="s">
        <v>83</v>
      </c>
      <c r="Q26" s="41" t="s">
        <v>84</v>
      </c>
      <c r="R26" s="41" t="s">
        <v>32</v>
      </c>
      <c r="S26" s="41" t="s">
        <v>33</v>
      </c>
    </row>
    <row r="27" spans="1:19" x14ac:dyDescent="0.2">
      <c r="A27" s="41" t="s">
        <v>85</v>
      </c>
      <c r="B27" s="41">
        <v>110604</v>
      </c>
      <c r="C27" s="41" t="s">
        <v>20</v>
      </c>
      <c r="D27" s="41" t="s">
        <v>21</v>
      </c>
      <c r="E27" s="41" t="s">
        <v>22</v>
      </c>
      <c r="F27" s="41">
        <v>2006</v>
      </c>
      <c r="G27" s="41">
        <v>68</v>
      </c>
      <c r="H27" s="41" t="s">
        <v>23</v>
      </c>
      <c r="I27" s="41" t="s">
        <v>32</v>
      </c>
      <c r="J27" s="41" t="s">
        <v>32</v>
      </c>
      <c r="K27" s="41" t="s">
        <v>26</v>
      </c>
      <c r="L27" s="41" t="s">
        <v>27</v>
      </c>
      <c r="M27" s="41" t="s">
        <v>86</v>
      </c>
      <c r="N27" s="41" t="s">
        <v>82</v>
      </c>
      <c r="O27" s="41">
        <v>2006</v>
      </c>
      <c r="P27" s="41" t="s">
        <v>83</v>
      </c>
      <c r="Q27" s="41" t="s">
        <v>84</v>
      </c>
      <c r="R27" s="41" t="s">
        <v>32</v>
      </c>
      <c r="S27" s="41" t="s">
        <v>33</v>
      </c>
    </row>
    <row r="28" spans="1:19" x14ac:dyDescent="0.2">
      <c r="A28" s="41" t="s">
        <v>87</v>
      </c>
      <c r="B28" s="41">
        <v>110858</v>
      </c>
      <c r="C28" s="41" t="s">
        <v>20</v>
      </c>
      <c r="D28" s="41" t="s">
        <v>21</v>
      </c>
      <c r="E28" s="41" t="s">
        <v>22</v>
      </c>
      <c r="F28" s="41">
        <v>2006</v>
      </c>
      <c r="G28" s="41">
        <v>46</v>
      </c>
      <c r="H28" s="41" t="s">
        <v>88</v>
      </c>
      <c r="I28" s="41">
        <v>1</v>
      </c>
      <c r="J28" s="41" t="s">
        <v>32</v>
      </c>
      <c r="K28" s="41" t="s">
        <v>26</v>
      </c>
      <c r="L28" s="41" t="s">
        <v>27</v>
      </c>
      <c r="M28" s="41" t="s">
        <v>86</v>
      </c>
      <c r="N28" s="41" t="s">
        <v>82</v>
      </c>
      <c r="O28" s="41">
        <v>2003</v>
      </c>
      <c r="P28" s="41" t="s">
        <v>83</v>
      </c>
      <c r="Q28" s="41" t="s">
        <v>84</v>
      </c>
      <c r="R28" s="41" t="s">
        <v>32</v>
      </c>
      <c r="S28" s="41" t="s">
        <v>33</v>
      </c>
    </row>
    <row r="29" spans="1:19" x14ac:dyDescent="0.2">
      <c r="A29" s="41" t="s">
        <v>89</v>
      </c>
      <c r="B29" s="41">
        <v>111561</v>
      </c>
      <c r="C29" s="41" t="s">
        <v>51</v>
      </c>
      <c r="D29" s="41" t="s">
        <v>41</v>
      </c>
      <c r="E29" s="41" t="s">
        <v>22</v>
      </c>
      <c r="F29" s="41">
        <v>2006</v>
      </c>
      <c r="G29" s="41">
        <v>66</v>
      </c>
      <c r="H29" s="41" t="s">
        <v>23</v>
      </c>
      <c r="I29" s="41" t="s">
        <v>32</v>
      </c>
      <c r="J29" s="41" t="s">
        <v>32</v>
      </c>
      <c r="K29" s="41" t="s">
        <v>26</v>
      </c>
      <c r="L29" s="41" t="s">
        <v>27</v>
      </c>
      <c r="M29" s="41" t="s">
        <v>86</v>
      </c>
      <c r="N29" s="41" t="s">
        <v>82</v>
      </c>
      <c r="O29" s="41">
        <v>2004</v>
      </c>
      <c r="P29" s="41" t="s">
        <v>83</v>
      </c>
      <c r="Q29" s="41" t="s">
        <v>84</v>
      </c>
      <c r="R29" s="41" t="s">
        <v>32</v>
      </c>
      <c r="S29" s="41" t="s">
        <v>33</v>
      </c>
    </row>
    <row r="30" spans="1:19" x14ac:dyDescent="0.2">
      <c r="A30" s="41" t="s">
        <v>90</v>
      </c>
      <c r="B30" s="41">
        <v>116079</v>
      </c>
      <c r="C30" s="41" t="s">
        <v>20</v>
      </c>
      <c r="D30" s="41" t="s">
        <v>21</v>
      </c>
      <c r="E30" s="41" t="s">
        <v>22</v>
      </c>
      <c r="F30" s="41">
        <v>2008</v>
      </c>
      <c r="G30" s="41">
        <v>57</v>
      </c>
      <c r="H30" s="41" t="s">
        <v>35</v>
      </c>
      <c r="I30" s="41" t="s">
        <v>32</v>
      </c>
      <c r="J30" s="41" t="s">
        <v>32</v>
      </c>
      <c r="K30" s="41" t="s">
        <v>26</v>
      </c>
      <c r="L30" s="41" t="s">
        <v>27</v>
      </c>
      <c r="M30" s="41" t="s">
        <v>86</v>
      </c>
      <c r="N30" s="41" t="s">
        <v>82</v>
      </c>
      <c r="O30" s="41">
        <v>2008</v>
      </c>
      <c r="P30" s="41" t="s">
        <v>83</v>
      </c>
      <c r="Q30" s="41" t="s">
        <v>84</v>
      </c>
      <c r="R30" s="41" t="s">
        <v>32</v>
      </c>
      <c r="S30" s="41" t="s">
        <v>33</v>
      </c>
    </row>
    <row r="31" spans="1:19" x14ac:dyDescent="0.2">
      <c r="A31" s="41" t="s">
        <v>91</v>
      </c>
      <c r="B31" s="41">
        <v>116543</v>
      </c>
      <c r="C31" s="41" t="s">
        <v>51</v>
      </c>
      <c r="D31" s="41" t="s">
        <v>21</v>
      </c>
      <c r="E31" s="41" t="s">
        <v>22</v>
      </c>
      <c r="F31" s="41">
        <v>2008</v>
      </c>
      <c r="G31" s="41">
        <v>56</v>
      </c>
      <c r="H31" s="41" t="s">
        <v>35</v>
      </c>
      <c r="I31" s="41">
        <v>1</v>
      </c>
      <c r="J31" s="41" t="s">
        <v>32</v>
      </c>
      <c r="K31" s="41" t="s">
        <v>26</v>
      </c>
      <c r="L31" s="41" t="s">
        <v>27</v>
      </c>
      <c r="M31" s="41" t="s">
        <v>92</v>
      </c>
      <c r="N31" s="41" t="s">
        <v>82</v>
      </c>
      <c r="O31" s="41">
        <v>2008</v>
      </c>
      <c r="P31" s="41" t="s">
        <v>83</v>
      </c>
      <c r="Q31" s="41" t="s">
        <v>84</v>
      </c>
      <c r="R31" s="41" t="s">
        <v>32</v>
      </c>
      <c r="S31" s="41" t="s">
        <v>33</v>
      </c>
    </row>
    <row r="32" spans="1:19" x14ac:dyDescent="0.2">
      <c r="A32" s="41" t="s">
        <v>93</v>
      </c>
      <c r="B32" s="41">
        <v>116677</v>
      </c>
      <c r="C32" s="41" t="s">
        <v>20</v>
      </c>
      <c r="D32" s="41" t="s">
        <v>21</v>
      </c>
      <c r="E32" s="41" t="s">
        <v>22</v>
      </c>
      <c r="F32" s="41">
        <v>2008</v>
      </c>
      <c r="G32" s="41">
        <v>70</v>
      </c>
      <c r="H32" s="41" t="s">
        <v>46</v>
      </c>
      <c r="I32" s="41">
        <v>1</v>
      </c>
      <c r="J32" s="41" t="s">
        <v>32</v>
      </c>
      <c r="K32" s="41" t="s">
        <v>26</v>
      </c>
      <c r="L32" s="41" t="s">
        <v>27</v>
      </c>
      <c r="M32" s="41" t="s">
        <v>86</v>
      </c>
      <c r="N32" s="41" t="s">
        <v>82</v>
      </c>
      <c r="O32" s="41">
        <v>2008</v>
      </c>
      <c r="P32" s="41" t="s">
        <v>83</v>
      </c>
      <c r="Q32" s="41" t="s">
        <v>84</v>
      </c>
      <c r="R32" s="41" t="s">
        <v>32</v>
      </c>
      <c r="S32" s="41" t="s">
        <v>33</v>
      </c>
    </row>
    <row r="33" spans="1:21" x14ac:dyDescent="0.2">
      <c r="A33" s="41" t="s">
        <v>94</v>
      </c>
      <c r="B33" s="41">
        <v>116832</v>
      </c>
      <c r="C33" s="41" t="s">
        <v>20</v>
      </c>
      <c r="D33" s="41" t="s">
        <v>21</v>
      </c>
      <c r="E33" s="41" t="s">
        <v>22</v>
      </c>
      <c r="F33" s="41">
        <v>2008</v>
      </c>
      <c r="G33" s="41">
        <v>63</v>
      </c>
      <c r="H33" s="41" t="s">
        <v>23</v>
      </c>
      <c r="I33" s="41" t="s">
        <v>32</v>
      </c>
      <c r="J33" s="41" t="s">
        <v>32</v>
      </c>
      <c r="K33" s="41" t="s">
        <v>26</v>
      </c>
      <c r="L33" s="41" t="s">
        <v>27</v>
      </c>
      <c r="M33" s="41" t="s">
        <v>86</v>
      </c>
      <c r="N33" s="41" t="s">
        <v>82</v>
      </c>
      <c r="O33" s="41">
        <v>2011</v>
      </c>
      <c r="P33" s="41" t="s">
        <v>83</v>
      </c>
      <c r="Q33" s="41" t="s">
        <v>84</v>
      </c>
      <c r="R33" s="41" t="s">
        <v>32</v>
      </c>
      <c r="S33" s="41" t="s">
        <v>33</v>
      </c>
    </row>
    <row r="34" spans="1:21" x14ac:dyDescent="0.2">
      <c r="A34" s="41" t="s">
        <v>95</v>
      </c>
      <c r="B34" s="41">
        <v>118434</v>
      </c>
      <c r="C34" s="41" t="s">
        <v>20</v>
      </c>
      <c r="D34" s="41" t="s">
        <v>21</v>
      </c>
      <c r="E34" s="41" t="s">
        <v>22</v>
      </c>
      <c r="F34" s="41">
        <v>2008</v>
      </c>
      <c r="G34" s="41">
        <v>68</v>
      </c>
      <c r="H34" s="41" t="s">
        <v>23</v>
      </c>
      <c r="I34" s="41" t="s">
        <v>32</v>
      </c>
      <c r="J34" s="41" t="s">
        <v>32</v>
      </c>
      <c r="K34" s="41" t="s">
        <v>26</v>
      </c>
      <c r="L34" s="41" t="s">
        <v>27</v>
      </c>
      <c r="M34" s="41" t="s">
        <v>86</v>
      </c>
      <c r="N34" s="41" t="s">
        <v>82</v>
      </c>
      <c r="O34" s="41">
        <v>2009</v>
      </c>
      <c r="P34" s="41" t="s">
        <v>83</v>
      </c>
      <c r="Q34" s="41" t="s">
        <v>84</v>
      </c>
      <c r="R34" s="41" t="s">
        <v>32</v>
      </c>
      <c r="S34" s="41" t="s">
        <v>33</v>
      </c>
    </row>
    <row r="35" spans="1:21" x14ac:dyDescent="0.2">
      <c r="A35" s="41" t="s">
        <v>96</v>
      </c>
      <c r="B35" s="41">
        <v>119417</v>
      </c>
      <c r="C35" s="41" t="s">
        <v>20</v>
      </c>
      <c r="D35" s="41" t="s">
        <v>97</v>
      </c>
      <c r="E35" s="41" t="s">
        <v>22</v>
      </c>
      <c r="F35" s="41">
        <v>2009</v>
      </c>
      <c r="G35" s="41">
        <v>60</v>
      </c>
      <c r="H35" s="41" t="s">
        <v>23</v>
      </c>
      <c r="I35" s="41" t="s">
        <v>32</v>
      </c>
      <c r="J35" s="41" t="s">
        <v>32</v>
      </c>
      <c r="K35" s="41" t="s">
        <v>26</v>
      </c>
      <c r="L35" s="41" t="s">
        <v>27</v>
      </c>
      <c r="M35" s="41" t="s">
        <v>86</v>
      </c>
      <c r="N35" s="41" t="s">
        <v>82</v>
      </c>
      <c r="O35" s="41">
        <v>2008</v>
      </c>
      <c r="P35" s="41" t="s">
        <v>83</v>
      </c>
      <c r="Q35" s="41" t="s">
        <v>84</v>
      </c>
      <c r="R35" s="41" t="s">
        <v>32</v>
      </c>
      <c r="S35" s="41" t="s">
        <v>33</v>
      </c>
    </row>
    <row r="36" spans="1:21" x14ac:dyDescent="0.2">
      <c r="A36" s="41" t="s">
        <v>98</v>
      </c>
      <c r="B36" s="41">
        <v>119787</v>
      </c>
      <c r="C36" s="41" t="s">
        <v>51</v>
      </c>
      <c r="D36" s="41" t="s">
        <v>21</v>
      </c>
      <c r="E36" s="41" t="s">
        <v>22</v>
      </c>
      <c r="F36" s="41">
        <v>2009</v>
      </c>
      <c r="G36" s="41">
        <v>72</v>
      </c>
      <c r="H36" s="41" t="s">
        <v>46</v>
      </c>
      <c r="I36" s="41" t="s">
        <v>32</v>
      </c>
      <c r="J36" s="41" t="s">
        <v>32</v>
      </c>
      <c r="K36" s="41" t="s">
        <v>26</v>
      </c>
      <c r="L36" s="41" t="s">
        <v>27</v>
      </c>
      <c r="M36" s="41" t="s">
        <v>86</v>
      </c>
      <c r="N36" s="41" t="s">
        <v>82</v>
      </c>
      <c r="O36" s="41">
        <v>2009</v>
      </c>
      <c r="P36" s="41" t="s">
        <v>83</v>
      </c>
      <c r="Q36" s="41" t="s">
        <v>84</v>
      </c>
      <c r="R36" s="41" t="s">
        <v>32</v>
      </c>
      <c r="S36" s="41" t="s">
        <v>33</v>
      </c>
    </row>
    <row r="37" spans="1:21" x14ac:dyDescent="0.2">
      <c r="A37" s="41" t="s">
        <v>99</v>
      </c>
      <c r="B37" s="41">
        <v>119844</v>
      </c>
      <c r="C37" s="41" t="s">
        <v>51</v>
      </c>
      <c r="D37" s="41" t="s">
        <v>21</v>
      </c>
      <c r="E37" s="41" t="s">
        <v>22</v>
      </c>
      <c r="F37" s="41">
        <v>2009</v>
      </c>
      <c r="G37" s="41">
        <v>66</v>
      </c>
      <c r="H37" s="41" t="s">
        <v>23</v>
      </c>
      <c r="I37" s="41" t="s">
        <v>32</v>
      </c>
      <c r="J37" s="41" t="s">
        <v>32</v>
      </c>
      <c r="K37" s="41" t="s">
        <v>26</v>
      </c>
      <c r="L37" s="41" t="s">
        <v>27</v>
      </c>
      <c r="M37" s="41" t="s">
        <v>100</v>
      </c>
      <c r="N37" s="41" t="s">
        <v>82</v>
      </c>
      <c r="O37" s="41">
        <v>2007</v>
      </c>
      <c r="P37" s="41" t="s">
        <v>83</v>
      </c>
      <c r="Q37" s="41" t="s">
        <v>84</v>
      </c>
      <c r="R37" s="41" t="s">
        <v>32</v>
      </c>
      <c r="S37" s="41" t="s">
        <v>33</v>
      </c>
    </row>
    <row r="38" spans="1:21" x14ac:dyDescent="0.2">
      <c r="A38" s="41" t="s">
        <v>101</v>
      </c>
      <c r="B38" s="41">
        <v>119913</v>
      </c>
      <c r="C38" s="41" t="s">
        <v>20</v>
      </c>
      <c r="D38" s="41" t="s">
        <v>41</v>
      </c>
      <c r="E38" s="41" t="s">
        <v>22</v>
      </c>
      <c r="F38" s="41">
        <v>2009</v>
      </c>
      <c r="G38" s="41">
        <v>58</v>
      </c>
      <c r="H38" s="41" t="s">
        <v>35</v>
      </c>
      <c r="I38" s="41" t="s">
        <v>32</v>
      </c>
      <c r="J38" s="41" t="s">
        <v>32</v>
      </c>
      <c r="K38" s="41" t="s">
        <v>26</v>
      </c>
      <c r="L38" s="41" t="s">
        <v>27</v>
      </c>
      <c r="M38" s="41" t="s">
        <v>86</v>
      </c>
      <c r="N38" s="41" t="s">
        <v>82</v>
      </c>
      <c r="O38" s="41">
        <v>2015</v>
      </c>
      <c r="P38" s="41" t="s">
        <v>83</v>
      </c>
      <c r="Q38" s="41" t="s">
        <v>84</v>
      </c>
      <c r="R38" s="41" t="s">
        <v>32</v>
      </c>
      <c r="S38" s="41" t="s">
        <v>33</v>
      </c>
    </row>
    <row r="39" spans="1:21" x14ac:dyDescent="0.2">
      <c r="A39" s="41" t="s">
        <v>102</v>
      </c>
      <c r="B39" s="41">
        <v>121443</v>
      </c>
      <c r="C39" s="41" t="s">
        <v>51</v>
      </c>
      <c r="D39" s="41" t="s">
        <v>21</v>
      </c>
      <c r="E39" s="41" t="s">
        <v>66</v>
      </c>
      <c r="F39" s="41">
        <v>2009</v>
      </c>
      <c r="G39" s="41">
        <v>60</v>
      </c>
      <c r="H39" s="41" t="s">
        <v>23</v>
      </c>
      <c r="I39" s="41">
        <v>1</v>
      </c>
      <c r="J39" s="41" t="s">
        <v>32</v>
      </c>
      <c r="K39" s="41" t="s">
        <v>26</v>
      </c>
      <c r="L39" s="41" t="s">
        <v>27</v>
      </c>
      <c r="M39" s="41" t="s">
        <v>92</v>
      </c>
      <c r="N39" s="41" t="s">
        <v>82</v>
      </c>
      <c r="O39" s="41">
        <v>2009</v>
      </c>
      <c r="P39" s="41" t="s">
        <v>83</v>
      </c>
      <c r="Q39" s="41" t="s">
        <v>84</v>
      </c>
      <c r="R39" s="41" t="s">
        <v>32</v>
      </c>
      <c r="S39" s="41" t="s">
        <v>33</v>
      </c>
    </row>
    <row r="40" spans="1:21" x14ac:dyDescent="0.2">
      <c r="A40" s="41" t="s">
        <v>103</v>
      </c>
      <c r="B40" s="41">
        <v>122141</v>
      </c>
      <c r="C40" s="41" t="s">
        <v>20</v>
      </c>
      <c r="D40" s="41" t="s">
        <v>21</v>
      </c>
      <c r="E40" s="41" t="s">
        <v>22</v>
      </c>
      <c r="F40" s="41">
        <v>2010</v>
      </c>
      <c r="G40" s="41">
        <v>70</v>
      </c>
      <c r="H40" s="41" t="s">
        <v>46</v>
      </c>
      <c r="I40" s="41" t="s">
        <v>32</v>
      </c>
      <c r="J40" s="41" t="s">
        <v>32</v>
      </c>
      <c r="K40" s="41" t="s">
        <v>26</v>
      </c>
      <c r="L40" s="41" t="s">
        <v>27</v>
      </c>
      <c r="M40" s="41" t="s">
        <v>86</v>
      </c>
      <c r="N40" s="41" t="s">
        <v>82</v>
      </c>
      <c r="O40" s="41">
        <v>2009</v>
      </c>
      <c r="P40" s="41" t="s">
        <v>83</v>
      </c>
      <c r="Q40" s="41" t="s">
        <v>84</v>
      </c>
      <c r="R40" s="41" t="s">
        <v>32</v>
      </c>
      <c r="S40" s="41" t="s">
        <v>33</v>
      </c>
    </row>
    <row r="41" spans="1:21" s="100" customFormat="1" x14ac:dyDescent="0.2">
      <c r="A41" s="100" t="s">
        <v>104</v>
      </c>
      <c r="B41" s="100" t="s">
        <v>105</v>
      </c>
      <c r="C41" s="100" t="s">
        <v>20</v>
      </c>
      <c r="D41" s="100" t="s">
        <v>106</v>
      </c>
      <c r="E41" s="100" t="s">
        <v>107</v>
      </c>
      <c r="F41" s="100">
        <v>2024</v>
      </c>
      <c r="G41" s="100">
        <v>72</v>
      </c>
      <c r="H41" s="100" t="s">
        <v>46</v>
      </c>
      <c r="I41" s="100" t="s">
        <v>76</v>
      </c>
      <c r="J41" s="100" t="s">
        <v>32</v>
      </c>
      <c r="K41" s="100" t="s">
        <v>26</v>
      </c>
      <c r="L41" s="100" t="s">
        <v>27</v>
      </c>
      <c r="M41" s="100" t="s">
        <v>108</v>
      </c>
      <c r="N41" s="100" t="s">
        <v>82</v>
      </c>
      <c r="O41" s="100">
        <v>2024</v>
      </c>
      <c r="P41" s="100" t="s">
        <v>83</v>
      </c>
      <c r="Q41" s="100" t="s">
        <v>31</v>
      </c>
      <c r="R41" s="100" t="s">
        <v>32</v>
      </c>
      <c r="S41" s="100" t="s">
        <v>109</v>
      </c>
      <c r="U41" s="100" t="s">
        <v>110</v>
      </c>
    </row>
    <row r="42" spans="1:21" s="100" customFormat="1" x14ac:dyDescent="0.2">
      <c r="A42" s="100" t="s">
        <v>111</v>
      </c>
      <c r="B42" s="100" t="s">
        <v>112</v>
      </c>
      <c r="C42" s="100" t="s">
        <v>51</v>
      </c>
      <c r="D42" s="100" t="s">
        <v>106</v>
      </c>
      <c r="E42" s="100" t="s">
        <v>107</v>
      </c>
      <c r="F42" s="100">
        <v>2024</v>
      </c>
      <c r="G42" s="100">
        <v>67</v>
      </c>
      <c r="H42" s="100" t="s">
        <v>23</v>
      </c>
      <c r="I42" s="100" t="s">
        <v>32</v>
      </c>
      <c r="J42" s="100">
        <v>4</v>
      </c>
      <c r="K42" s="100" t="s">
        <v>26</v>
      </c>
      <c r="L42" s="100" t="s">
        <v>27</v>
      </c>
      <c r="M42" s="100" t="s">
        <v>113</v>
      </c>
      <c r="N42" s="100" t="s">
        <v>82</v>
      </c>
      <c r="O42" s="100">
        <v>2024</v>
      </c>
      <c r="P42" s="100" t="s">
        <v>83</v>
      </c>
      <c r="Q42" s="100" t="s">
        <v>31</v>
      </c>
      <c r="R42" s="100" t="s">
        <v>32</v>
      </c>
      <c r="S42" s="100" t="s">
        <v>109</v>
      </c>
      <c r="U42" s="100" t="s">
        <v>110</v>
      </c>
    </row>
    <row r="43" spans="1:21" x14ac:dyDescent="0.2">
      <c r="A43" s="41" t="s">
        <v>114</v>
      </c>
      <c r="B43" s="41" t="s">
        <v>115</v>
      </c>
      <c r="C43" s="41" t="s">
        <v>20</v>
      </c>
      <c r="D43" s="41" t="s">
        <v>106</v>
      </c>
      <c r="E43" s="41" t="s">
        <v>107</v>
      </c>
      <c r="F43" s="41">
        <v>2024</v>
      </c>
      <c r="G43" s="41">
        <v>54</v>
      </c>
      <c r="H43" s="41" t="s">
        <v>35</v>
      </c>
      <c r="I43" s="41" t="s">
        <v>32</v>
      </c>
      <c r="J43" s="41" t="s">
        <v>116</v>
      </c>
      <c r="K43" s="41" t="s">
        <v>26</v>
      </c>
      <c r="L43" s="41" t="s">
        <v>27</v>
      </c>
      <c r="M43" s="41" t="s">
        <v>108</v>
      </c>
      <c r="N43" s="41" t="s">
        <v>82</v>
      </c>
      <c r="O43" s="41">
        <v>2024</v>
      </c>
      <c r="P43" s="41" t="s">
        <v>83</v>
      </c>
      <c r="Q43" s="41" t="s">
        <v>31</v>
      </c>
      <c r="R43" s="41" t="s">
        <v>32</v>
      </c>
      <c r="S43" s="41" t="s">
        <v>109</v>
      </c>
    </row>
    <row r="44" spans="1:21" x14ac:dyDescent="0.2">
      <c r="A44" s="41" t="s">
        <v>117</v>
      </c>
      <c r="B44" s="41" t="s">
        <v>118</v>
      </c>
      <c r="C44" s="41" t="s">
        <v>51</v>
      </c>
      <c r="D44" s="41" t="s">
        <v>106</v>
      </c>
      <c r="E44" s="41" t="s">
        <v>107</v>
      </c>
      <c r="F44" s="41">
        <v>2024</v>
      </c>
      <c r="G44" s="41">
        <v>40</v>
      </c>
      <c r="H44" s="41" t="s">
        <v>88</v>
      </c>
      <c r="I44" s="41" t="s">
        <v>54</v>
      </c>
      <c r="J44" s="41" t="s">
        <v>32</v>
      </c>
      <c r="K44" s="41" t="s">
        <v>26</v>
      </c>
      <c r="L44" s="41" t="s">
        <v>27</v>
      </c>
      <c r="M44" s="41" t="s">
        <v>113</v>
      </c>
      <c r="N44" s="41" t="s">
        <v>82</v>
      </c>
      <c r="O44" s="41">
        <v>2024</v>
      </c>
      <c r="P44" s="41" t="s">
        <v>83</v>
      </c>
      <c r="Q44" s="41" t="s">
        <v>31</v>
      </c>
      <c r="R44" s="41" t="s">
        <v>32</v>
      </c>
      <c r="S44" s="41" t="s">
        <v>109</v>
      </c>
    </row>
    <row r="45" spans="1:21" x14ac:dyDescent="0.2">
      <c r="A45" s="41" t="s">
        <v>119</v>
      </c>
      <c r="B45" s="41" t="s">
        <v>120</v>
      </c>
      <c r="C45" s="41" t="s">
        <v>20</v>
      </c>
      <c r="D45" s="41" t="s">
        <v>106</v>
      </c>
      <c r="E45" s="41" t="s">
        <v>107</v>
      </c>
      <c r="F45" s="41">
        <v>2024</v>
      </c>
      <c r="G45" s="41">
        <v>74</v>
      </c>
      <c r="H45" s="41" t="s">
        <v>46</v>
      </c>
      <c r="I45" s="41">
        <v>2</v>
      </c>
      <c r="J45" s="41" t="s">
        <v>32</v>
      </c>
      <c r="K45" s="41" t="s">
        <v>26</v>
      </c>
      <c r="L45" s="41" t="s">
        <v>27</v>
      </c>
      <c r="M45" s="41" t="s">
        <v>108</v>
      </c>
      <c r="N45" s="41" t="s">
        <v>82</v>
      </c>
      <c r="O45" s="41">
        <v>2024</v>
      </c>
      <c r="P45" s="41" t="s">
        <v>83</v>
      </c>
      <c r="Q45" s="41" t="s">
        <v>31</v>
      </c>
      <c r="R45" s="41" t="s">
        <v>32</v>
      </c>
      <c r="S45" s="41" t="s">
        <v>109</v>
      </c>
    </row>
    <row r="46" spans="1:21" x14ac:dyDescent="0.2">
      <c r="A46" s="41" t="s">
        <v>121</v>
      </c>
      <c r="B46" s="41" t="s">
        <v>122</v>
      </c>
      <c r="C46" s="41" t="s">
        <v>51</v>
      </c>
      <c r="D46" s="41" t="s">
        <v>106</v>
      </c>
      <c r="E46" s="41" t="s">
        <v>107</v>
      </c>
      <c r="F46" s="41">
        <v>2024</v>
      </c>
      <c r="G46" s="41">
        <v>66</v>
      </c>
      <c r="H46" s="41" t="s">
        <v>23</v>
      </c>
      <c r="I46" s="41" t="s">
        <v>123</v>
      </c>
      <c r="J46" s="41" t="s">
        <v>32</v>
      </c>
      <c r="K46" s="41" t="s">
        <v>26</v>
      </c>
      <c r="L46" s="41" t="s">
        <v>27</v>
      </c>
      <c r="M46" s="41" t="s">
        <v>108</v>
      </c>
      <c r="N46" s="41" t="s">
        <v>82</v>
      </c>
      <c r="O46" s="41">
        <v>2024</v>
      </c>
      <c r="P46" s="41" t="s">
        <v>83</v>
      </c>
      <c r="Q46" s="41" t="s">
        <v>31</v>
      </c>
      <c r="R46" s="41" t="s">
        <v>32</v>
      </c>
      <c r="S46" s="41" t="s">
        <v>109</v>
      </c>
    </row>
    <row r="47" spans="1:21" x14ac:dyDescent="0.2">
      <c r="A47" s="41" t="s">
        <v>124</v>
      </c>
      <c r="B47" s="41" t="s">
        <v>125</v>
      </c>
      <c r="C47" s="41" t="s">
        <v>51</v>
      </c>
      <c r="D47" s="41" t="s">
        <v>106</v>
      </c>
      <c r="E47" s="41" t="s">
        <v>107</v>
      </c>
      <c r="F47" s="41">
        <v>2024</v>
      </c>
      <c r="G47" s="41">
        <v>63</v>
      </c>
      <c r="H47" s="41" t="s">
        <v>23</v>
      </c>
      <c r="I47" s="41">
        <v>4</v>
      </c>
      <c r="J47" s="41" t="s">
        <v>32</v>
      </c>
      <c r="K47" s="41" t="s">
        <v>26</v>
      </c>
      <c r="L47" s="41" t="s">
        <v>27</v>
      </c>
      <c r="M47" s="41" t="s">
        <v>113</v>
      </c>
      <c r="N47" s="41" t="s">
        <v>82</v>
      </c>
      <c r="O47" s="41">
        <v>2024</v>
      </c>
      <c r="P47" s="41" t="s">
        <v>83</v>
      </c>
      <c r="Q47" s="41" t="s">
        <v>31</v>
      </c>
      <c r="R47" s="41" t="s">
        <v>32</v>
      </c>
      <c r="S47" s="41" t="s">
        <v>109</v>
      </c>
    </row>
    <row r="48" spans="1:21" x14ac:dyDescent="0.2">
      <c r="A48" s="41" t="s">
        <v>126</v>
      </c>
      <c r="B48" s="41" t="s">
        <v>127</v>
      </c>
      <c r="C48" s="41" t="s">
        <v>20</v>
      </c>
      <c r="D48" s="41" t="s">
        <v>106</v>
      </c>
      <c r="E48" s="41" t="s">
        <v>107</v>
      </c>
      <c r="F48" s="41">
        <v>2024</v>
      </c>
      <c r="G48" s="41">
        <v>60</v>
      </c>
      <c r="H48" s="41" t="s">
        <v>23</v>
      </c>
      <c r="I48" s="41">
        <v>2</v>
      </c>
      <c r="J48" s="41" t="s">
        <v>32</v>
      </c>
      <c r="K48" s="41" t="s">
        <v>26</v>
      </c>
      <c r="L48" s="41" t="s">
        <v>27</v>
      </c>
      <c r="M48" s="41" t="s">
        <v>113</v>
      </c>
      <c r="N48" s="41" t="s">
        <v>82</v>
      </c>
      <c r="O48" s="41">
        <v>2024</v>
      </c>
      <c r="P48" s="41" t="s">
        <v>83</v>
      </c>
      <c r="Q48" s="41" t="s">
        <v>31</v>
      </c>
      <c r="R48" s="41" t="s">
        <v>32</v>
      </c>
      <c r="S48" s="41" t="s">
        <v>109</v>
      </c>
    </row>
    <row r="49" spans="1:19" x14ac:dyDescent="0.2">
      <c r="A49" s="41" t="s">
        <v>128</v>
      </c>
      <c r="B49" s="41" t="s">
        <v>129</v>
      </c>
      <c r="C49" s="41" t="s">
        <v>51</v>
      </c>
      <c r="D49" s="41" t="s">
        <v>106</v>
      </c>
      <c r="E49" s="41" t="s">
        <v>107</v>
      </c>
      <c r="F49" s="41">
        <v>2024</v>
      </c>
      <c r="G49" s="41">
        <v>67</v>
      </c>
      <c r="H49" s="41" t="s">
        <v>23</v>
      </c>
      <c r="I49" s="41" t="s">
        <v>123</v>
      </c>
      <c r="J49" s="41" t="s">
        <v>32</v>
      </c>
      <c r="K49" s="41" t="s">
        <v>26</v>
      </c>
      <c r="L49" s="41" t="s">
        <v>27</v>
      </c>
      <c r="M49" s="41" t="s">
        <v>108</v>
      </c>
      <c r="N49" s="41" t="s">
        <v>82</v>
      </c>
      <c r="O49" s="41">
        <v>2024</v>
      </c>
      <c r="P49" s="41" t="s">
        <v>83</v>
      </c>
      <c r="Q49" s="41" t="s">
        <v>31</v>
      </c>
      <c r="R49" s="41" t="s">
        <v>32</v>
      </c>
      <c r="S49" s="41" t="s">
        <v>109</v>
      </c>
    </row>
    <row r="50" spans="1:19" x14ac:dyDescent="0.2">
      <c r="A50" s="41" t="s">
        <v>130</v>
      </c>
      <c r="B50" s="41" t="s">
        <v>131</v>
      </c>
      <c r="C50" s="41" t="s">
        <v>20</v>
      </c>
      <c r="D50" s="41" t="s">
        <v>106</v>
      </c>
      <c r="E50" s="41" t="s">
        <v>107</v>
      </c>
      <c r="F50" s="41">
        <v>2024</v>
      </c>
      <c r="G50" s="41">
        <v>64</v>
      </c>
      <c r="H50" s="41" t="s">
        <v>23</v>
      </c>
      <c r="I50" s="41" t="s">
        <v>54</v>
      </c>
      <c r="J50" s="41" t="s">
        <v>32</v>
      </c>
      <c r="K50" s="41" t="s">
        <v>26</v>
      </c>
      <c r="L50" s="41" t="s">
        <v>27</v>
      </c>
      <c r="M50" s="41" t="s">
        <v>113</v>
      </c>
      <c r="N50" s="41" t="s">
        <v>82</v>
      </c>
      <c r="O50" s="41">
        <v>2024</v>
      </c>
      <c r="P50" s="41" t="s">
        <v>83</v>
      </c>
      <c r="Q50" s="41" t="s">
        <v>31</v>
      </c>
      <c r="R50" s="41" t="s">
        <v>32</v>
      </c>
      <c r="S50" s="41" t="s">
        <v>109</v>
      </c>
    </row>
    <row r="51" spans="1:19" x14ac:dyDescent="0.2">
      <c r="A51" s="41" t="s">
        <v>132</v>
      </c>
      <c r="B51" s="41" t="s">
        <v>133</v>
      </c>
      <c r="C51" s="41" t="s">
        <v>51</v>
      </c>
      <c r="D51" s="41" t="s">
        <v>106</v>
      </c>
      <c r="E51" s="41" t="s">
        <v>107</v>
      </c>
      <c r="F51" s="41">
        <v>2024</v>
      </c>
      <c r="G51" s="41">
        <v>70</v>
      </c>
      <c r="H51" s="41" t="s">
        <v>46</v>
      </c>
      <c r="I51" s="41">
        <v>2</v>
      </c>
      <c r="J51" s="41" t="s">
        <v>32</v>
      </c>
      <c r="K51" s="41" t="s">
        <v>26</v>
      </c>
      <c r="L51" s="41" t="s">
        <v>27</v>
      </c>
      <c r="M51" s="41" t="s">
        <v>108</v>
      </c>
      <c r="N51" s="41" t="s">
        <v>82</v>
      </c>
      <c r="O51" s="41">
        <v>2024</v>
      </c>
      <c r="P51" s="41" t="s">
        <v>83</v>
      </c>
      <c r="Q51" s="41" t="s">
        <v>31</v>
      </c>
      <c r="R51" s="41" t="s">
        <v>32</v>
      </c>
      <c r="S51" s="41" t="s">
        <v>109</v>
      </c>
    </row>
    <row r="52" spans="1:19" x14ac:dyDescent="0.2">
      <c r="A52" s="41" t="s">
        <v>134</v>
      </c>
      <c r="B52" s="41" t="s">
        <v>135</v>
      </c>
      <c r="C52" s="72" t="s">
        <v>20</v>
      </c>
      <c r="D52" s="73" t="s">
        <v>106</v>
      </c>
      <c r="E52" s="73" t="s">
        <v>107</v>
      </c>
      <c r="F52" s="41">
        <v>2024</v>
      </c>
      <c r="G52" s="72">
        <v>50</v>
      </c>
      <c r="H52" s="41" t="s">
        <v>35</v>
      </c>
      <c r="I52" s="41" t="s">
        <v>76</v>
      </c>
      <c r="J52" s="41" t="s">
        <v>32</v>
      </c>
      <c r="K52" s="41" t="s">
        <v>26</v>
      </c>
      <c r="L52" s="41" t="s">
        <v>27</v>
      </c>
      <c r="M52" s="72" t="s">
        <v>108</v>
      </c>
      <c r="N52" s="41" t="s">
        <v>136</v>
      </c>
      <c r="O52" s="41">
        <v>2024</v>
      </c>
      <c r="P52" s="41" t="s">
        <v>83</v>
      </c>
      <c r="Q52" s="41"/>
      <c r="R52" s="41" t="s">
        <v>32</v>
      </c>
      <c r="S52" s="41" t="s">
        <v>109</v>
      </c>
    </row>
    <row r="53" spans="1:19" x14ac:dyDescent="0.2">
      <c r="A53" s="41" t="s">
        <v>137</v>
      </c>
      <c r="B53" s="41">
        <v>151324</v>
      </c>
      <c r="C53" s="41" t="s">
        <v>20</v>
      </c>
      <c r="D53" s="41" t="s">
        <v>21</v>
      </c>
      <c r="E53" s="41" t="s">
        <v>22</v>
      </c>
      <c r="F53" s="41">
        <v>2017</v>
      </c>
      <c r="G53" s="41" t="s">
        <v>32</v>
      </c>
      <c r="H53" s="41" t="s">
        <v>32</v>
      </c>
      <c r="I53" s="41">
        <v>4</v>
      </c>
      <c r="J53" s="41" t="s">
        <v>32</v>
      </c>
      <c r="K53" s="41" t="s">
        <v>26</v>
      </c>
      <c r="L53" s="41" t="s">
        <v>27</v>
      </c>
      <c r="M53" s="41" t="s">
        <v>138</v>
      </c>
      <c r="N53" s="41" t="s">
        <v>139</v>
      </c>
      <c r="O53" s="41" t="s">
        <v>32</v>
      </c>
      <c r="P53" s="41" t="s">
        <v>140</v>
      </c>
      <c r="Q53" s="41" t="s">
        <v>84</v>
      </c>
      <c r="R53" s="41" t="s">
        <v>32</v>
      </c>
      <c r="S53" s="41" t="s">
        <v>33</v>
      </c>
    </row>
    <row r="54" spans="1:19" x14ac:dyDescent="0.2">
      <c r="A54" s="41" t="s">
        <v>141</v>
      </c>
      <c r="B54" s="41">
        <v>119955</v>
      </c>
      <c r="C54" s="41" t="s">
        <v>51</v>
      </c>
      <c r="D54" s="41" t="s">
        <v>21</v>
      </c>
      <c r="E54" s="41" t="s">
        <v>66</v>
      </c>
      <c r="F54" s="41">
        <v>2009</v>
      </c>
      <c r="G54" s="41">
        <v>78</v>
      </c>
      <c r="H54" s="41" t="s">
        <v>46</v>
      </c>
      <c r="I54" s="41">
        <v>4</v>
      </c>
      <c r="J54" s="41" t="s">
        <v>123</v>
      </c>
      <c r="K54" s="41" t="s">
        <v>26</v>
      </c>
      <c r="L54" s="41" t="s">
        <v>27</v>
      </c>
      <c r="M54" s="41" t="s">
        <v>28</v>
      </c>
      <c r="N54" s="41" t="s">
        <v>139</v>
      </c>
      <c r="O54" s="41">
        <v>2009</v>
      </c>
      <c r="P54" s="41" t="s">
        <v>140</v>
      </c>
      <c r="Q54" s="41" t="s">
        <v>84</v>
      </c>
      <c r="R54" s="41" t="s">
        <v>32</v>
      </c>
      <c r="S54" s="41" t="s">
        <v>33</v>
      </c>
    </row>
    <row r="55" spans="1:19" x14ac:dyDescent="0.2">
      <c r="A55" s="41" t="s">
        <v>142</v>
      </c>
      <c r="B55" s="41">
        <v>152424</v>
      </c>
      <c r="C55" s="41" t="s">
        <v>20</v>
      </c>
      <c r="D55" s="41" t="s">
        <v>21</v>
      </c>
      <c r="E55" s="41" t="s">
        <v>22</v>
      </c>
      <c r="F55" s="41">
        <v>2017</v>
      </c>
      <c r="G55" s="41">
        <v>43</v>
      </c>
      <c r="H55" s="41" t="s">
        <v>88</v>
      </c>
      <c r="I55" s="41">
        <v>4</v>
      </c>
      <c r="J55" s="41">
        <v>4</v>
      </c>
      <c r="K55" s="41" t="s">
        <v>26</v>
      </c>
      <c r="L55" s="41" t="s">
        <v>27</v>
      </c>
      <c r="M55" s="41" t="s">
        <v>143</v>
      </c>
      <c r="N55" s="41" t="s">
        <v>139</v>
      </c>
      <c r="O55" s="41">
        <v>2017</v>
      </c>
      <c r="P55" s="41" t="s">
        <v>140</v>
      </c>
      <c r="Q55" s="41" t="s">
        <v>84</v>
      </c>
      <c r="R55" s="41" t="s">
        <v>32</v>
      </c>
      <c r="S55" s="41" t="s">
        <v>33</v>
      </c>
    </row>
    <row r="56" spans="1:19" x14ac:dyDescent="0.2">
      <c r="A56" s="41" t="s">
        <v>144</v>
      </c>
      <c r="B56" s="41">
        <v>145976</v>
      </c>
      <c r="C56" s="41" t="s">
        <v>51</v>
      </c>
      <c r="D56" s="41" t="s">
        <v>21</v>
      </c>
      <c r="E56" s="41" t="s">
        <v>22</v>
      </c>
      <c r="F56" s="41">
        <v>2016</v>
      </c>
      <c r="G56" s="41">
        <v>52</v>
      </c>
      <c r="H56" s="41" t="s">
        <v>35</v>
      </c>
      <c r="I56" s="41">
        <v>4</v>
      </c>
      <c r="J56" s="41">
        <v>4</v>
      </c>
      <c r="K56" s="41" t="s">
        <v>26</v>
      </c>
      <c r="L56" s="41" t="s">
        <v>27</v>
      </c>
      <c r="M56" s="41" t="s">
        <v>143</v>
      </c>
      <c r="N56" s="41" t="s">
        <v>145</v>
      </c>
      <c r="O56" s="41">
        <v>2015</v>
      </c>
      <c r="P56" s="41" t="s">
        <v>140</v>
      </c>
      <c r="Q56" s="41" t="s">
        <v>84</v>
      </c>
      <c r="R56" s="41" t="s">
        <v>32</v>
      </c>
      <c r="S56" s="41" t="s">
        <v>33</v>
      </c>
    </row>
    <row r="57" spans="1:19" x14ac:dyDescent="0.2">
      <c r="A57" s="41" t="s">
        <v>146</v>
      </c>
      <c r="B57" s="41">
        <v>145277</v>
      </c>
      <c r="C57" s="41" t="s">
        <v>20</v>
      </c>
      <c r="D57" s="41" t="s">
        <v>21</v>
      </c>
      <c r="E57" s="41" t="s">
        <v>22</v>
      </c>
      <c r="F57" s="41">
        <v>2016</v>
      </c>
      <c r="G57" s="41">
        <v>61</v>
      </c>
      <c r="H57" s="41" t="s">
        <v>23</v>
      </c>
      <c r="I57" s="41">
        <v>4</v>
      </c>
      <c r="J57" s="41">
        <v>4</v>
      </c>
      <c r="K57" s="41" t="s">
        <v>26</v>
      </c>
      <c r="L57" s="41" t="s">
        <v>27</v>
      </c>
      <c r="M57" s="41" t="s">
        <v>28</v>
      </c>
      <c r="N57" s="41" t="s">
        <v>147</v>
      </c>
      <c r="O57" s="88">
        <v>2015</v>
      </c>
      <c r="P57" s="41" t="s">
        <v>140</v>
      </c>
      <c r="Q57" s="41" t="s">
        <v>84</v>
      </c>
      <c r="R57" s="41" t="s">
        <v>32</v>
      </c>
      <c r="S57" s="41" t="s">
        <v>33</v>
      </c>
    </row>
    <row r="58" spans="1:19" x14ac:dyDescent="0.2">
      <c r="A58" s="41" t="s">
        <v>148</v>
      </c>
      <c r="B58" s="41">
        <v>142906</v>
      </c>
      <c r="C58" s="41" t="s">
        <v>51</v>
      </c>
      <c r="D58" s="41" t="s">
        <v>21</v>
      </c>
      <c r="E58" s="41" t="s">
        <v>22</v>
      </c>
      <c r="F58" s="41">
        <v>2015</v>
      </c>
      <c r="G58" s="41">
        <v>55</v>
      </c>
      <c r="H58" s="41" t="s">
        <v>35</v>
      </c>
      <c r="I58" s="41">
        <v>4</v>
      </c>
      <c r="J58" s="41">
        <v>4</v>
      </c>
      <c r="K58" s="41" t="s">
        <v>26</v>
      </c>
      <c r="L58" s="41" t="s">
        <v>27</v>
      </c>
      <c r="M58" s="41" t="s">
        <v>28</v>
      </c>
      <c r="N58" s="41" t="s">
        <v>139</v>
      </c>
      <c r="O58" s="41">
        <v>2015</v>
      </c>
      <c r="P58" s="41" t="s">
        <v>140</v>
      </c>
      <c r="Q58" s="41" t="s">
        <v>84</v>
      </c>
      <c r="R58" s="41" t="s">
        <v>32</v>
      </c>
      <c r="S58" s="41" t="s">
        <v>33</v>
      </c>
    </row>
    <row r="59" spans="1:19" x14ac:dyDescent="0.2">
      <c r="A59" s="41" t="s">
        <v>149</v>
      </c>
      <c r="B59" s="41">
        <v>142519</v>
      </c>
      <c r="C59" s="41" t="s">
        <v>20</v>
      </c>
      <c r="D59" s="41" t="s">
        <v>21</v>
      </c>
      <c r="E59" s="41" t="s">
        <v>22</v>
      </c>
      <c r="F59" s="41">
        <v>2015</v>
      </c>
      <c r="G59" s="41">
        <v>60</v>
      </c>
      <c r="H59" s="41" t="s">
        <v>23</v>
      </c>
      <c r="I59" s="41">
        <v>4</v>
      </c>
      <c r="J59" s="41" t="s">
        <v>38</v>
      </c>
      <c r="K59" s="41" t="s">
        <v>26</v>
      </c>
      <c r="L59" s="41" t="s">
        <v>27</v>
      </c>
      <c r="M59" s="41" t="s">
        <v>28</v>
      </c>
      <c r="N59" s="41" t="s">
        <v>139</v>
      </c>
      <c r="O59" s="41">
        <v>2015</v>
      </c>
      <c r="P59" s="41" t="s">
        <v>140</v>
      </c>
      <c r="Q59" s="41" t="s">
        <v>84</v>
      </c>
      <c r="R59" s="41" t="s">
        <v>32</v>
      </c>
      <c r="S59" s="41" t="s">
        <v>33</v>
      </c>
    </row>
    <row r="60" spans="1:19" x14ac:dyDescent="0.2">
      <c r="A60" s="41" t="s">
        <v>150</v>
      </c>
      <c r="B60" s="41">
        <v>133719</v>
      </c>
      <c r="C60" s="41" t="s">
        <v>20</v>
      </c>
      <c r="D60" s="41" t="s">
        <v>21</v>
      </c>
      <c r="E60" s="41" t="s">
        <v>22</v>
      </c>
      <c r="F60" s="41">
        <v>2012</v>
      </c>
      <c r="G60" s="41">
        <v>62</v>
      </c>
      <c r="H60" s="41" t="s">
        <v>23</v>
      </c>
      <c r="I60" s="41" t="s">
        <v>38</v>
      </c>
      <c r="J60" s="41" t="s">
        <v>123</v>
      </c>
      <c r="K60" s="41" t="s">
        <v>26</v>
      </c>
      <c r="L60" s="41" t="s">
        <v>27</v>
      </c>
      <c r="M60" s="41" t="s">
        <v>151</v>
      </c>
      <c r="N60" s="41" t="s">
        <v>139</v>
      </c>
      <c r="O60" s="41">
        <v>2012</v>
      </c>
      <c r="P60" s="41" t="s">
        <v>140</v>
      </c>
      <c r="Q60" s="41" t="s">
        <v>84</v>
      </c>
      <c r="R60" s="41" t="s">
        <v>32</v>
      </c>
      <c r="S60" s="41" t="s">
        <v>33</v>
      </c>
    </row>
    <row r="61" spans="1:19" x14ac:dyDescent="0.2">
      <c r="A61" s="41" t="s">
        <v>152</v>
      </c>
      <c r="B61" s="41">
        <v>126678</v>
      </c>
      <c r="C61" s="41" t="s">
        <v>20</v>
      </c>
      <c r="D61" s="41" t="s">
        <v>21</v>
      </c>
      <c r="E61" s="41" t="s">
        <v>153</v>
      </c>
      <c r="F61" s="41">
        <v>2011</v>
      </c>
      <c r="G61" s="41">
        <v>53</v>
      </c>
      <c r="H61" s="41" t="s">
        <v>35</v>
      </c>
      <c r="I61" s="41" t="s">
        <v>32</v>
      </c>
      <c r="J61" s="41" t="s">
        <v>38</v>
      </c>
      <c r="K61" s="41" t="s">
        <v>26</v>
      </c>
      <c r="L61" s="41" t="s">
        <v>27</v>
      </c>
      <c r="M61" s="41" t="s">
        <v>28</v>
      </c>
      <c r="N61" s="41" t="s">
        <v>139</v>
      </c>
      <c r="O61" s="41">
        <v>2011</v>
      </c>
      <c r="P61" s="41" t="s">
        <v>140</v>
      </c>
      <c r="Q61" s="41" t="s">
        <v>84</v>
      </c>
      <c r="R61" s="41" t="s">
        <v>32</v>
      </c>
      <c r="S61" s="41" t="s">
        <v>33</v>
      </c>
    </row>
    <row r="62" spans="1:19" x14ac:dyDescent="0.2">
      <c r="A62" s="41" t="s">
        <v>154</v>
      </c>
      <c r="B62" s="41">
        <v>107754</v>
      </c>
      <c r="C62" s="41" t="s">
        <v>51</v>
      </c>
      <c r="D62" s="41" t="s">
        <v>21</v>
      </c>
      <c r="E62" s="41" t="s">
        <v>155</v>
      </c>
      <c r="F62" s="41">
        <v>2004</v>
      </c>
      <c r="G62" s="41">
        <v>45</v>
      </c>
      <c r="H62" s="41" t="s">
        <v>88</v>
      </c>
      <c r="I62" s="41">
        <v>4</v>
      </c>
      <c r="J62" s="41" t="s">
        <v>24</v>
      </c>
      <c r="K62" s="41" t="s">
        <v>26</v>
      </c>
      <c r="L62" s="41" t="s">
        <v>27</v>
      </c>
      <c r="M62" s="41" t="s">
        <v>28</v>
      </c>
      <c r="N62" s="41" t="s">
        <v>139</v>
      </c>
      <c r="O62" s="41">
        <v>2004</v>
      </c>
      <c r="P62" s="41" t="s">
        <v>140</v>
      </c>
      <c r="Q62" s="41" t="s">
        <v>84</v>
      </c>
      <c r="R62" s="41" t="s">
        <v>32</v>
      </c>
      <c r="S62" s="41" t="s">
        <v>33</v>
      </c>
    </row>
    <row r="63" spans="1:19" x14ac:dyDescent="0.2">
      <c r="A63" s="41" t="s">
        <v>156</v>
      </c>
      <c r="B63" s="41">
        <v>106615</v>
      </c>
      <c r="C63" s="41" t="s">
        <v>51</v>
      </c>
      <c r="D63" s="41" t="s">
        <v>41</v>
      </c>
      <c r="E63" s="41" t="s">
        <v>22</v>
      </c>
      <c r="F63" s="41">
        <v>2004</v>
      </c>
      <c r="G63" s="41">
        <v>53</v>
      </c>
      <c r="H63" s="41" t="s">
        <v>35</v>
      </c>
      <c r="I63" s="41">
        <v>4</v>
      </c>
      <c r="J63" s="41">
        <v>4</v>
      </c>
      <c r="K63" s="41" t="s">
        <v>26</v>
      </c>
      <c r="L63" s="41" t="s">
        <v>27</v>
      </c>
      <c r="M63" s="41" t="s">
        <v>28</v>
      </c>
      <c r="N63" s="41" t="s">
        <v>145</v>
      </c>
      <c r="O63" s="41">
        <v>2004</v>
      </c>
      <c r="P63" s="41" t="s">
        <v>140</v>
      </c>
      <c r="Q63" s="41" t="s">
        <v>84</v>
      </c>
      <c r="R63" s="41" t="s">
        <v>32</v>
      </c>
      <c r="S63" s="41" t="s">
        <v>33</v>
      </c>
    </row>
    <row r="64" spans="1:19" x14ac:dyDescent="0.2">
      <c r="A64" s="41" t="s">
        <v>157</v>
      </c>
      <c r="B64" s="41">
        <v>151324</v>
      </c>
      <c r="C64" s="41" t="s">
        <v>20</v>
      </c>
      <c r="D64" s="41" t="s">
        <v>21</v>
      </c>
      <c r="E64" s="41" t="s">
        <v>22</v>
      </c>
      <c r="F64" s="41">
        <v>2017</v>
      </c>
      <c r="G64" s="88"/>
      <c r="H64" s="41"/>
      <c r="I64" s="41">
        <v>4</v>
      </c>
      <c r="J64" s="41" t="s">
        <v>32</v>
      </c>
      <c r="K64" s="41" t="s">
        <v>26</v>
      </c>
      <c r="L64" s="41" t="s">
        <v>27</v>
      </c>
      <c r="M64" s="41" t="s">
        <v>138</v>
      </c>
      <c r="N64" s="41" t="s">
        <v>139</v>
      </c>
      <c r="O64" s="41" t="s">
        <v>32</v>
      </c>
      <c r="P64" s="41" t="s">
        <v>140</v>
      </c>
      <c r="Q64" s="41" t="s">
        <v>84</v>
      </c>
      <c r="R64" s="41" t="s">
        <v>32</v>
      </c>
      <c r="S64" s="41" t="s">
        <v>33</v>
      </c>
    </row>
    <row r="65" spans="1:19" x14ac:dyDescent="0.2">
      <c r="A65" s="41" t="s">
        <v>158</v>
      </c>
      <c r="B65" s="41">
        <v>108137</v>
      </c>
      <c r="C65" s="41" t="s">
        <v>20</v>
      </c>
      <c r="D65" s="41" t="s">
        <v>21</v>
      </c>
      <c r="E65" s="41" t="s">
        <v>159</v>
      </c>
      <c r="F65" s="41">
        <v>2004</v>
      </c>
      <c r="G65" s="41">
        <v>58</v>
      </c>
      <c r="H65" s="41" t="s">
        <v>35</v>
      </c>
      <c r="I65" s="41" t="s">
        <v>24</v>
      </c>
      <c r="J65" s="41">
        <v>3</v>
      </c>
      <c r="K65" s="41" t="s">
        <v>26</v>
      </c>
      <c r="L65" s="41" t="s">
        <v>27</v>
      </c>
      <c r="M65" s="41" t="s">
        <v>28</v>
      </c>
      <c r="N65" s="41" t="s">
        <v>160</v>
      </c>
      <c r="O65" s="41">
        <v>2004</v>
      </c>
      <c r="P65" s="41" t="s">
        <v>140</v>
      </c>
      <c r="Q65" s="41" t="s">
        <v>84</v>
      </c>
      <c r="R65" s="41" t="s">
        <v>32</v>
      </c>
      <c r="S65" s="41" t="s">
        <v>33</v>
      </c>
    </row>
    <row r="66" spans="1:19" x14ac:dyDescent="0.2">
      <c r="A66" s="41" t="s">
        <v>161</v>
      </c>
      <c r="B66" s="41">
        <v>108393</v>
      </c>
      <c r="C66" s="41" t="s">
        <v>51</v>
      </c>
      <c r="D66" s="41" t="s">
        <v>21</v>
      </c>
      <c r="E66" s="41" t="s">
        <v>159</v>
      </c>
      <c r="F66" s="88">
        <v>2005</v>
      </c>
      <c r="G66" s="41">
        <v>68</v>
      </c>
      <c r="H66" s="41" t="s">
        <v>23</v>
      </c>
      <c r="I66" s="41" t="s">
        <v>123</v>
      </c>
      <c r="J66" s="41" t="s">
        <v>24</v>
      </c>
      <c r="K66" s="41" t="s">
        <v>26</v>
      </c>
      <c r="L66" s="41" t="s">
        <v>27</v>
      </c>
      <c r="M66" s="41" t="s">
        <v>28</v>
      </c>
      <c r="N66" s="41" t="s">
        <v>139</v>
      </c>
      <c r="O66" s="41">
        <v>2004</v>
      </c>
      <c r="P66" s="41" t="s">
        <v>140</v>
      </c>
      <c r="Q66" s="41" t="s">
        <v>84</v>
      </c>
      <c r="R66" s="41" t="s">
        <v>32</v>
      </c>
      <c r="S66" s="41" t="s">
        <v>33</v>
      </c>
    </row>
    <row r="67" spans="1:19" x14ac:dyDescent="0.2">
      <c r="A67" s="41" t="s">
        <v>162</v>
      </c>
      <c r="B67" s="41">
        <v>108702</v>
      </c>
      <c r="C67" s="41" t="s">
        <v>20</v>
      </c>
      <c r="D67" s="41" t="s">
        <v>21</v>
      </c>
      <c r="E67" s="41" t="s">
        <v>159</v>
      </c>
      <c r="F67" s="41">
        <v>2005</v>
      </c>
      <c r="G67" s="41">
        <v>57</v>
      </c>
      <c r="H67" s="41" t="s">
        <v>35</v>
      </c>
      <c r="I67" s="41" t="s">
        <v>38</v>
      </c>
      <c r="J67" s="41" t="s">
        <v>24</v>
      </c>
      <c r="K67" s="41" t="s">
        <v>26</v>
      </c>
      <c r="L67" s="41" t="s">
        <v>27</v>
      </c>
      <c r="M67" s="41" t="s">
        <v>28</v>
      </c>
      <c r="N67" s="41" t="s">
        <v>139</v>
      </c>
      <c r="O67" s="41">
        <v>2005</v>
      </c>
      <c r="P67" s="41" t="s">
        <v>140</v>
      </c>
      <c r="Q67" s="41" t="s">
        <v>84</v>
      </c>
      <c r="R67" s="41" t="s">
        <v>32</v>
      </c>
      <c r="S67" s="41" t="s">
        <v>33</v>
      </c>
    </row>
    <row r="68" spans="1:19" x14ac:dyDescent="0.2">
      <c r="A68" s="41" t="s">
        <v>163</v>
      </c>
      <c r="B68" s="41">
        <v>112467</v>
      </c>
      <c r="C68" s="41" t="s">
        <v>51</v>
      </c>
      <c r="D68" s="41" t="s">
        <v>21</v>
      </c>
      <c r="E68" s="41" t="s">
        <v>159</v>
      </c>
      <c r="F68" s="88">
        <v>2006</v>
      </c>
      <c r="G68" s="41">
        <v>59</v>
      </c>
      <c r="H68" s="41" t="s">
        <v>35</v>
      </c>
      <c r="I68" s="41" t="s">
        <v>38</v>
      </c>
      <c r="J68" s="41" t="s">
        <v>24</v>
      </c>
      <c r="K68" s="41" t="s">
        <v>26</v>
      </c>
      <c r="L68" s="41" t="s">
        <v>27</v>
      </c>
      <c r="M68" s="41" t="s">
        <v>151</v>
      </c>
      <c r="N68" s="41" t="s">
        <v>139</v>
      </c>
      <c r="O68" s="41">
        <v>2006</v>
      </c>
      <c r="P68" s="41" t="s">
        <v>140</v>
      </c>
      <c r="Q68" s="41" t="s">
        <v>84</v>
      </c>
      <c r="R68" s="41" t="s">
        <v>32</v>
      </c>
      <c r="S68" s="41" t="s">
        <v>33</v>
      </c>
    </row>
    <row r="69" spans="1:19" x14ac:dyDescent="0.2">
      <c r="A69" s="41" t="s">
        <v>164</v>
      </c>
      <c r="B69" s="41">
        <v>113589</v>
      </c>
      <c r="C69" s="41" t="s">
        <v>20</v>
      </c>
      <c r="D69" s="41" t="s">
        <v>21</v>
      </c>
      <c r="E69" s="41" t="s">
        <v>159</v>
      </c>
      <c r="F69" s="41">
        <v>2007</v>
      </c>
      <c r="G69" s="41">
        <v>64</v>
      </c>
      <c r="H69" s="41" t="s">
        <v>23</v>
      </c>
      <c r="I69" s="41" t="s">
        <v>38</v>
      </c>
      <c r="J69" s="41" t="s">
        <v>123</v>
      </c>
      <c r="K69" s="41" t="s">
        <v>26</v>
      </c>
      <c r="L69" s="41" t="s">
        <v>27</v>
      </c>
      <c r="M69" s="41" t="s">
        <v>151</v>
      </c>
      <c r="N69" s="41" t="s">
        <v>139</v>
      </c>
      <c r="O69" s="41">
        <v>2007</v>
      </c>
      <c r="P69" s="41" t="s">
        <v>140</v>
      </c>
      <c r="Q69" s="41" t="s">
        <v>84</v>
      </c>
      <c r="R69" s="41" t="s">
        <v>32</v>
      </c>
      <c r="S69" s="41" t="s">
        <v>33</v>
      </c>
    </row>
    <row r="70" spans="1:19" x14ac:dyDescent="0.2">
      <c r="A70" s="41" t="s">
        <v>165</v>
      </c>
      <c r="B70" s="41">
        <v>127394</v>
      </c>
      <c r="C70" s="41" t="s">
        <v>51</v>
      </c>
      <c r="D70" s="41" t="s">
        <v>21</v>
      </c>
      <c r="E70" s="41" t="s">
        <v>159</v>
      </c>
      <c r="F70" s="41">
        <v>2011</v>
      </c>
      <c r="G70" s="41">
        <v>63</v>
      </c>
      <c r="H70" s="41" t="s">
        <v>23</v>
      </c>
      <c r="I70" s="41" t="s">
        <v>38</v>
      </c>
      <c r="J70" s="41" t="s">
        <v>123</v>
      </c>
      <c r="K70" s="41" t="s">
        <v>26</v>
      </c>
      <c r="L70" s="41" t="s">
        <v>27</v>
      </c>
      <c r="M70" s="41" t="s">
        <v>151</v>
      </c>
      <c r="N70" s="41" t="s">
        <v>139</v>
      </c>
      <c r="O70" s="41">
        <v>2011</v>
      </c>
      <c r="P70" s="41" t="s">
        <v>140</v>
      </c>
      <c r="Q70" s="41" t="s">
        <v>84</v>
      </c>
      <c r="R70" s="41" t="s">
        <v>32</v>
      </c>
      <c r="S70" s="41" t="s">
        <v>33</v>
      </c>
    </row>
    <row r="71" spans="1:19" x14ac:dyDescent="0.2">
      <c r="A71" s="41" t="s">
        <v>166</v>
      </c>
      <c r="B71" s="41">
        <v>134709</v>
      </c>
      <c r="C71" s="41" t="s">
        <v>20</v>
      </c>
      <c r="D71" s="41" t="s">
        <v>41</v>
      </c>
      <c r="E71" s="41" t="s">
        <v>159</v>
      </c>
      <c r="F71" s="88">
        <v>2013</v>
      </c>
      <c r="G71" s="41">
        <v>61</v>
      </c>
      <c r="H71" s="41" t="s">
        <v>23</v>
      </c>
      <c r="I71" s="41" t="s">
        <v>38</v>
      </c>
      <c r="J71" s="41" t="s">
        <v>24</v>
      </c>
      <c r="K71" s="41" t="s">
        <v>26</v>
      </c>
      <c r="L71" s="41" t="s">
        <v>27</v>
      </c>
      <c r="M71" s="41" t="s">
        <v>28</v>
      </c>
      <c r="N71" s="41" t="s">
        <v>139</v>
      </c>
      <c r="O71" s="41">
        <v>2012</v>
      </c>
      <c r="P71" s="41" t="s">
        <v>140</v>
      </c>
      <c r="Q71" s="41" t="s">
        <v>84</v>
      </c>
      <c r="R71" s="41" t="s">
        <v>32</v>
      </c>
      <c r="S71" s="41" t="s">
        <v>33</v>
      </c>
    </row>
    <row r="72" spans="1:19" x14ac:dyDescent="0.2">
      <c r="A72" s="41" t="s">
        <v>167</v>
      </c>
      <c r="B72" s="41">
        <v>119955</v>
      </c>
      <c r="C72" s="41" t="s">
        <v>51</v>
      </c>
      <c r="D72" s="41" t="s">
        <v>21</v>
      </c>
      <c r="E72" s="41" t="s">
        <v>66</v>
      </c>
      <c r="F72" s="41">
        <v>2009</v>
      </c>
      <c r="G72" s="41">
        <v>78</v>
      </c>
      <c r="H72" s="41" t="s">
        <v>46</v>
      </c>
      <c r="I72" s="41">
        <v>4</v>
      </c>
      <c r="J72" s="41" t="s">
        <v>123</v>
      </c>
      <c r="K72" s="41" t="s">
        <v>26</v>
      </c>
      <c r="L72" s="41" t="s">
        <v>27</v>
      </c>
      <c r="M72" s="41" t="s">
        <v>28</v>
      </c>
      <c r="N72" s="41" t="s">
        <v>139</v>
      </c>
      <c r="O72" s="41">
        <v>2009</v>
      </c>
      <c r="P72" s="41" t="s">
        <v>140</v>
      </c>
      <c r="Q72" s="41" t="s">
        <v>84</v>
      </c>
      <c r="R72" s="41" t="s">
        <v>32</v>
      </c>
      <c r="S72" s="41" t="s">
        <v>33</v>
      </c>
    </row>
    <row r="73" spans="1:19" x14ac:dyDescent="0.2">
      <c r="A73" s="41" t="s">
        <v>168</v>
      </c>
      <c r="B73" s="41">
        <v>126799</v>
      </c>
      <c r="C73" s="41" t="s">
        <v>20</v>
      </c>
      <c r="D73" s="41" t="s">
        <v>21</v>
      </c>
      <c r="E73" s="41" t="s">
        <v>22</v>
      </c>
      <c r="F73" s="41">
        <v>2011</v>
      </c>
      <c r="G73" s="41">
        <v>38</v>
      </c>
      <c r="H73" s="41" t="s">
        <v>44</v>
      </c>
      <c r="I73" s="41">
        <v>4</v>
      </c>
      <c r="J73" s="41">
        <v>4</v>
      </c>
      <c r="K73" s="41" t="s">
        <v>26</v>
      </c>
      <c r="L73" s="41" t="s">
        <v>27</v>
      </c>
      <c r="M73" s="41" t="s">
        <v>169</v>
      </c>
      <c r="N73" s="41" t="s">
        <v>145</v>
      </c>
      <c r="O73" s="41">
        <v>2011</v>
      </c>
      <c r="P73" s="41" t="s">
        <v>140</v>
      </c>
      <c r="Q73" s="41" t="s">
        <v>84</v>
      </c>
      <c r="R73" s="41" t="s">
        <v>32</v>
      </c>
      <c r="S73" s="41" t="s">
        <v>33</v>
      </c>
    </row>
    <row r="74" spans="1:19" x14ac:dyDescent="0.2">
      <c r="A74" s="41" t="s">
        <v>170</v>
      </c>
      <c r="B74" s="41">
        <v>128091</v>
      </c>
      <c r="C74" s="41" t="s">
        <v>20</v>
      </c>
      <c r="D74" s="41" t="s">
        <v>21</v>
      </c>
      <c r="E74" s="41" t="s">
        <v>22</v>
      </c>
      <c r="F74" s="41">
        <v>2011</v>
      </c>
      <c r="G74" s="41">
        <v>67</v>
      </c>
      <c r="H74" s="41" t="s">
        <v>23</v>
      </c>
      <c r="I74" s="41">
        <v>4</v>
      </c>
      <c r="J74" s="41">
        <v>4</v>
      </c>
      <c r="K74" s="41" t="s">
        <v>26</v>
      </c>
      <c r="L74" s="41" t="s">
        <v>27</v>
      </c>
      <c r="M74" s="41" t="s">
        <v>169</v>
      </c>
      <c r="N74" s="41" t="s">
        <v>145</v>
      </c>
      <c r="O74" s="41">
        <v>2011</v>
      </c>
      <c r="P74" s="41" t="s">
        <v>140</v>
      </c>
      <c r="Q74" s="41" t="s">
        <v>84</v>
      </c>
      <c r="R74" s="41" t="s">
        <v>32</v>
      </c>
      <c r="S74" s="41" t="s">
        <v>33</v>
      </c>
    </row>
    <row r="75" spans="1:19" x14ac:dyDescent="0.2">
      <c r="A75" s="41" t="s">
        <v>171</v>
      </c>
      <c r="B75" s="41">
        <v>138781</v>
      </c>
      <c r="C75" s="41" t="s">
        <v>20</v>
      </c>
      <c r="D75" s="41" t="s">
        <v>21</v>
      </c>
      <c r="E75" s="41" t="s">
        <v>22</v>
      </c>
      <c r="F75" s="41">
        <v>2014</v>
      </c>
      <c r="G75" s="41">
        <v>74</v>
      </c>
      <c r="H75" s="41" t="s">
        <v>46</v>
      </c>
      <c r="I75" s="41">
        <v>4</v>
      </c>
      <c r="J75" s="41">
        <v>4</v>
      </c>
      <c r="K75" s="41" t="s">
        <v>26</v>
      </c>
      <c r="L75" s="41" t="s">
        <v>27</v>
      </c>
      <c r="M75" s="41" t="s">
        <v>28</v>
      </c>
      <c r="N75" s="41" t="s">
        <v>139</v>
      </c>
      <c r="O75" s="41">
        <v>2015</v>
      </c>
      <c r="P75" s="41" t="s">
        <v>140</v>
      </c>
      <c r="Q75" s="41" t="s">
        <v>84</v>
      </c>
      <c r="R75" s="41" t="s">
        <v>32</v>
      </c>
      <c r="S75" s="41" t="s">
        <v>33</v>
      </c>
    </row>
    <row r="76" spans="1:19" x14ac:dyDescent="0.2">
      <c r="A76" s="41" t="s">
        <v>172</v>
      </c>
      <c r="B76" s="41">
        <v>141472</v>
      </c>
      <c r="C76" s="41" t="s">
        <v>20</v>
      </c>
      <c r="D76" s="41" t="s">
        <v>21</v>
      </c>
      <c r="E76" s="41" t="s">
        <v>22</v>
      </c>
      <c r="F76" s="41">
        <v>2015</v>
      </c>
      <c r="G76" s="41">
        <v>64</v>
      </c>
      <c r="H76" s="41" t="s">
        <v>23</v>
      </c>
      <c r="I76" s="41">
        <v>3</v>
      </c>
      <c r="J76" s="41">
        <v>3</v>
      </c>
      <c r="K76" s="41" t="s">
        <v>26</v>
      </c>
      <c r="L76" s="41" t="s">
        <v>27</v>
      </c>
      <c r="M76" s="41" t="s">
        <v>28</v>
      </c>
      <c r="N76" s="41" t="s">
        <v>145</v>
      </c>
      <c r="O76" s="41">
        <v>2014</v>
      </c>
      <c r="P76" s="41" t="s">
        <v>140</v>
      </c>
      <c r="Q76" s="41" t="s">
        <v>84</v>
      </c>
      <c r="R76" s="41" t="s">
        <v>32</v>
      </c>
      <c r="S76" s="41" t="s">
        <v>33</v>
      </c>
    </row>
    <row r="77" spans="1:19" ht="16" customHeight="1" x14ac:dyDescent="0.2">
      <c r="A77" s="41" t="s">
        <v>173</v>
      </c>
      <c r="B77" s="41">
        <v>100330</v>
      </c>
      <c r="C77" s="41" t="s">
        <v>20</v>
      </c>
      <c r="D77" s="41" t="s">
        <v>21</v>
      </c>
      <c r="E77" s="41" t="s">
        <v>22</v>
      </c>
      <c r="F77" s="41">
        <v>2000</v>
      </c>
      <c r="G77" s="41">
        <v>54</v>
      </c>
      <c r="H77" s="41" t="s">
        <v>35</v>
      </c>
      <c r="I77" s="41" t="s">
        <v>76</v>
      </c>
      <c r="J77" s="41" t="s">
        <v>32</v>
      </c>
      <c r="K77" s="41" t="s">
        <v>26</v>
      </c>
      <c r="L77" s="41" t="s">
        <v>27</v>
      </c>
      <c r="M77" s="41" t="s">
        <v>174</v>
      </c>
      <c r="N77" s="41" t="s">
        <v>139</v>
      </c>
      <c r="O77" s="41">
        <v>2000</v>
      </c>
      <c r="P77" s="41" t="s">
        <v>140</v>
      </c>
      <c r="Q77" s="41" t="s">
        <v>84</v>
      </c>
      <c r="R77" s="89" t="s">
        <v>32</v>
      </c>
      <c r="S77" s="41" t="s">
        <v>33</v>
      </c>
    </row>
    <row r="78" spans="1:19" x14ac:dyDescent="0.2">
      <c r="A78" s="41" t="s">
        <v>175</v>
      </c>
      <c r="B78" s="65">
        <v>145640</v>
      </c>
      <c r="C78" s="43" t="s">
        <v>20</v>
      </c>
      <c r="D78" s="43" t="s">
        <v>21</v>
      </c>
      <c r="E78" s="43" t="s">
        <v>22</v>
      </c>
      <c r="F78" s="42">
        <v>2016</v>
      </c>
      <c r="G78" s="66" t="s">
        <v>32</v>
      </c>
      <c r="H78" s="66" t="s">
        <v>32</v>
      </c>
      <c r="I78" s="41">
        <v>4</v>
      </c>
      <c r="J78" s="41" t="s">
        <v>32</v>
      </c>
      <c r="K78" s="41" t="s">
        <v>26</v>
      </c>
      <c r="L78" s="41" t="s">
        <v>27</v>
      </c>
      <c r="M78" s="67" t="s">
        <v>176</v>
      </c>
      <c r="N78" s="43" t="s">
        <v>177</v>
      </c>
      <c r="O78" s="43" t="s">
        <v>32</v>
      </c>
      <c r="P78" s="41" t="s">
        <v>140</v>
      </c>
      <c r="Q78" s="41"/>
      <c r="R78" s="41" t="s">
        <v>32</v>
      </c>
      <c r="S78" s="41" t="s">
        <v>33</v>
      </c>
    </row>
    <row r="79" spans="1:19" ht="16" customHeight="1" x14ac:dyDescent="0.2">
      <c r="A79" s="41" t="s">
        <v>178</v>
      </c>
      <c r="B79" s="41" t="s">
        <v>179</v>
      </c>
      <c r="C79" s="41" t="s">
        <v>51</v>
      </c>
      <c r="D79" s="41" t="s">
        <v>106</v>
      </c>
      <c r="E79" s="41" t="s">
        <v>107</v>
      </c>
      <c r="F79" s="41">
        <v>2021</v>
      </c>
      <c r="G79" s="41">
        <v>66</v>
      </c>
      <c r="H79" s="41" t="s">
        <v>23</v>
      </c>
      <c r="I79" s="41" t="s">
        <v>32</v>
      </c>
      <c r="J79" s="41" t="s">
        <v>32</v>
      </c>
      <c r="K79" s="41" t="s">
        <v>26</v>
      </c>
      <c r="L79" s="41" t="s">
        <v>27</v>
      </c>
      <c r="M79" s="41" t="s">
        <v>180</v>
      </c>
      <c r="N79" s="41" t="s">
        <v>181</v>
      </c>
      <c r="O79" s="41" t="s">
        <v>32</v>
      </c>
      <c r="P79" s="41" t="s">
        <v>181</v>
      </c>
      <c r="Q79" s="41" t="s">
        <v>31</v>
      </c>
      <c r="R79" s="46" t="s">
        <v>182</v>
      </c>
      <c r="S79" t="s">
        <v>183</v>
      </c>
    </row>
    <row r="80" spans="1:19" x14ac:dyDescent="0.2">
      <c r="A80" s="41" t="s">
        <v>184</v>
      </c>
      <c r="B80" s="41" t="s">
        <v>185</v>
      </c>
      <c r="C80" s="41" t="s">
        <v>20</v>
      </c>
      <c r="D80" s="41" t="s">
        <v>106</v>
      </c>
      <c r="E80" s="41" t="s">
        <v>107</v>
      </c>
      <c r="F80" s="41">
        <v>2021</v>
      </c>
      <c r="G80" s="41">
        <v>68</v>
      </c>
      <c r="H80" s="41" t="s">
        <v>23</v>
      </c>
      <c r="I80" s="41" t="s">
        <v>54</v>
      </c>
      <c r="J80" s="41" t="s">
        <v>32</v>
      </c>
      <c r="K80" s="41" t="s">
        <v>26</v>
      </c>
      <c r="L80" s="41" t="s">
        <v>27</v>
      </c>
      <c r="M80" s="41" t="s">
        <v>180</v>
      </c>
      <c r="N80" s="41" t="s">
        <v>181</v>
      </c>
      <c r="O80" s="41" t="s">
        <v>32</v>
      </c>
      <c r="P80" s="41" t="s">
        <v>181</v>
      </c>
      <c r="Q80" s="41" t="s">
        <v>31</v>
      </c>
      <c r="R80" s="41">
        <v>6.5</v>
      </c>
      <c r="S80" t="s">
        <v>183</v>
      </c>
    </row>
    <row r="81" spans="1:19" x14ac:dyDescent="0.2">
      <c r="A81" s="41" t="s">
        <v>186</v>
      </c>
      <c r="B81" s="41" t="s">
        <v>187</v>
      </c>
      <c r="C81" s="41" t="s">
        <v>51</v>
      </c>
      <c r="D81" s="41" t="s">
        <v>106</v>
      </c>
      <c r="E81" s="41" t="s">
        <v>107</v>
      </c>
      <c r="F81" s="41">
        <v>2021</v>
      </c>
      <c r="G81" s="41">
        <v>38</v>
      </c>
      <c r="H81" s="41" t="s">
        <v>44</v>
      </c>
      <c r="I81" s="41" t="s">
        <v>24</v>
      </c>
      <c r="J81" s="41" t="s">
        <v>32</v>
      </c>
      <c r="K81" s="41" t="s">
        <v>26</v>
      </c>
      <c r="L81" s="41" t="s">
        <v>27</v>
      </c>
      <c r="M81" s="41" t="s">
        <v>180</v>
      </c>
      <c r="N81" s="41" t="s">
        <v>181</v>
      </c>
      <c r="O81" s="41" t="s">
        <v>32</v>
      </c>
      <c r="P81" s="41" t="s">
        <v>181</v>
      </c>
      <c r="Q81" s="41" t="s">
        <v>31</v>
      </c>
      <c r="R81" s="41" t="s">
        <v>32</v>
      </c>
      <c r="S81" t="s">
        <v>183</v>
      </c>
    </row>
    <row r="82" spans="1:19" x14ac:dyDescent="0.2">
      <c r="A82" s="41" t="s">
        <v>188</v>
      </c>
      <c r="B82" s="41" t="s">
        <v>189</v>
      </c>
      <c r="C82" s="41" t="s">
        <v>20</v>
      </c>
      <c r="D82" s="41" t="s">
        <v>106</v>
      </c>
      <c r="E82" s="41" t="s">
        <v>107</v>
      </c>
      <c r="F82" s="41">
        <v>2021</v>
      </c>
      <c r="G82" s="41">
        <v>61</v>
      </c>
      <c r="H82" s="41" t="s">
        <v>23</v>
      </c>
      <c r="I82" s="41" t="s">
        <v>38</v>
      </c>
      <c r="J82" s="41" t="s">
        <v>32</v>
      </c>
      <c r="K82" s="41" t="s">
        <v>26</v>
      </c>
      <c r="L82" s="41" t="s">
        <v>27</v>
      </c>
      <c r="M82" s="41" t="s">
        <v>190</v>
      </c>
      <c r="N82" s="41" t="s">
        <v>181</v>
      </c>
      <c r="O82" s="41" t="s">
        <v>32</v>
      </c>
      <c r="P82" s="41" t="s">
        <v>181</v>
      </c>
      <c r="Q82" s="41" t="s">
        <v>31</v>
      </c>
      <c r="R82" s="41" t="s">
        <v>191</v>
      </c>
      <c r="S82" t="s">
        <v>183</v>
      </c>
    </row>
    <row r="83" spans="1:19" x14ac:dyDescent="0.2">
      <c r="A83" s="41" t="s">
        <v>192</v>
      </c>
      <c r="B83" s="41" t="s">
        <v>193</v>
      </c>
      <c r="C83" s="41" t="s">
        <v>20</v>
      </c>
      <c r="D83" s="41" t="s">
        <v>106</v>
      </c>
      <c r="E83" s="41" t="s">
        <v>107</v>
      </c>
      <c r="F83" s="41">
        <v>2021</v>
      </c>
      <c r="G83" s="41">
        <v>51</v>
      </c>
      <c r="H83" s="41" t="s">
        <v>35</v>
      </c>
      <c r="I83" s="41" t="s">
        <v>24</v>
      </c>
      <c r="J83" s="41" t="s">
        <v>32</v>
      </c>
      <c r="K83" s="41" t="s">
        <v>26</v>
      </c>
      <c r="L83" s="41" t="s">
        <v>27</v>
      </c>
      <c r="M83" s="41" t="s">
        <v>180</v>
      </c>
      <c r="N83" s="41" t="s">
        <v>181</v>
      </c>
      <c r="O83" s="41" t="s">
        <v>32</v>
      </c>
      <c r="P83" s="41" t="s">
        <v>181</v>
      </c>
      <c r="Q83" s="41" t="s">
        <v>31</v>
      </c>
      <c r="R83" s="41">
        <v>4.5</v>
      </c>
      <c r="S83" t="s">
        <v>183</v>
      </c>
    </row>
    <row r="84" spans="1:19" x14ac:dyDescent="0.2">
      <c r="A84" s="41" t="s">
        <v>194</v>
      </c>
      <c r="B84" s="41" t="s">
        <v>195</v>
      </c>
      <c r="C84" s="41" t="s">
        <v>51</v>
      </c>
      <c r="D84" s="41" t="s">
        <v>106</v>
      </c>
      <c r="E84" s="41" t="s">
        <v>107</v>
      </c>
      <c r="F84" s="41">
        <v>2021</v>
      </c>
      <c r="G84" s="41">
        <v>71</v>
      </c>
      <c r="H84" s="41" t="s">
        <v>46</v>
      </c>
      <c r="I84" s="41" t="s">
        <v>38</v>
      </c>
      <c r="J84" s="41" t="s">
        <v>32</v>
      </c>
      <c r="K84" s="41" t="s">
        <v>26</v>
      </c>
      <c r="L84" s="41" t="s">
        <v>27</v>
      </c>
      <c r="M84" s="41" t="s">
        <v>196</v>
      </c>
      <c r="N84" s="41" t="s">
        <v>181</v>
      </c>
      <c r="O84" s="41" t="s">
        <v>32</v>
      </c>
      <c r="P84" s="41" t="s">
        <v>181</v>
      </c>
      <c r="Q84" s="41" t="s">
        <v>31</v>
      </c>
      <c r="R84" s="41" t="s">
        <v>32</v>
      </c>
      <c r="S84" t="s">
        <v>183</v>
      </c>
    </row>
    <row r="85" spans="1:19" x14ac:dyDescent="0.2">
      <c r="A85" s="41" t="s">
        <v>197</v>
      </c>
      <c r="B85" s="41" t="s">
        <v>198</v>
      </c>
      <c r="C85" s="41" t="s">
        <v>20</v>
      </c>
      <c r="D85" s="41" t="s">
        <v>106</v>
      </c>
      <c r="E85" s="41" t="s">
        <v>107</v>
      </c>
      <c r="F85" s="41">
        <v>2021</v>
      </c>
      <c r="G85" s="41">
        <v>71</v>
      </c>
      <c r="H85" s="41" t="s">
        <v>46</v>
      </c>
      <c r="I85" s="41" t="s">
        <v>24</v>
      </c>
      <c r="J85" s="41" t="s">
        <v>32</v>
      </c>
      <c r="K85" s="41" t="s">
        <v>26</v>
      </c>
      <c r="L85" s="41" t="s">
        <v>27</v>
      </c>
      <c r="M85" s="41" t="s">
        <v>199</v>
      </c>
      <c r="N85" s="41" t="s">
        <v>181</v>
      </c>
      <c r="O85" s="41" t="s">
        <v>32</v>
      </c>
      <c r="P85" s="41" t="s">
        <v>181</v>
      </c>
      <c r="Q85" s="41" t="s">
        <v>31</v>
      </c>
      <c r="R85" s="41">
        <v>5.5</v>
      </c>
      <c r="S85" t="s">
        <v>183</v>
      </c>
    </row>
    <row r="86" spans="1:19" ht="16" customHeight="1" x14ac:dyDescent="0.2">
      <c r="A86" s="41" t="s">
        <v>200</v>
      </c>
      <c r="B86" s="41" t="s">
        <v>201</v>
      </c>
      <c r="C86" s="41" t="s">
        <v>20</v>
      </c>
      <c r="D86" s="41" t="s">
        <v>106</v>
      </c>
      <c r="E86" s="41" t="s">
        <v>107</v>
      </c>
      <c r="F86" s="41">
        <v>2021</v>
      </c>
      <c r="G86" s="41">
        <v>61</v>
      </c>
      <c r="H86" s="41" t="s">
        <v>23</v>
      </c>
      <c r="I86" s="41" t="s">
        <v>54</v>
      </c>
      <c r="J86" s="41" t="s">
        <v>32</v>
      </c>
      <c r="K86" s="41" t="s">
        <v>26</v>
      </c>
      <c r="L86" s="41" t="s">
        <v>27</v>
      </c>
      <c r="M86" s="41" t="s">
        <v>199</v>
      </c>
      <c r="N86" s="41" t="s">
        <v>181</v>
      </c>
      <c r="O86" s="41" t="s">
        <v>32</v>
      </c>
      <c r="P86" s="41" t="s">
        <v>181</v>
      </c>
      <c r="Q86" s="41" t="s">
        <v>31</v>
      </c>
      <c r="R86" s="47" t="s">
        <v>202</v>
      </c>
      <c r="S86" t="s">
        <v>183</v>
      </c>
    </row>
    <row r="87" spans="1:19" ht="16" customHeight="1" x14ac:dyDescent="0.2">
      <c r="A87" s="41" t="s">
        <v>203</v>
      </c>
      <c r="B87" s="41" t="s">
        <v>204</v>
      </c>
      <c r="C87" s="41" t="s">
        <v>20</v>
      </c>
      <c r="D87" s="41" t="s">
        <v>106</v>
      </c>
      <c r="E87" s="41" t="s">
        <v>107</v>
      </c>
      <c r="F87" s="41">
        <v>2021</v>
      </c>
      <c r="G87" s="41">
        <v>50</v>
      </c>
      <c r="H87" s="41" t="s">
        <v>35</v>
      </c>
      <c r="I87" s="41" t="s">
        <v>38</v>
      </c>
      <c r="J87" s="41" t="s">
        <v>32</v>
      </c>
      <c r="K87" s="41" t="s">
        <v>26</v>
      </c>
      <c r="L87" s="41" t="s">
        <v>27</v>
      </c>
      <c r="M87" s="41" t="s">
        <v>180</v>
      </c>
      <c r="N87" s="41" t="s">
        <v>181</v>
      </c>
      <c r="O87" s="41" t="s">
        <v>32</v>
      </c>
      <c r="P87" s="41" t="s">
        <v>181</v>
      </c>
      <c r="Q87" s="41" t="s">
        <v>31</v>
      </c>
      <c r="R87" s="47" t="s">
        <v>205</v>
      </c>
      <c r="S87" t="s">
        <v>183</v>
      </c>
    </row>
    <row r="88" spans="1:19" x14ac:dyDescent="0.2">
      <c r="A88" s="41" t="s">
        <v>206</v>
      </c>
      <c r="B88" s="41" t="s">
        <v>207</v>
      </c>
      <c r="C88" s="41" t="s">
        <v>20</v>
      </c>
      <c r="D88" s="41" t="s">
        <v>106</v>
      </c>
      <c r="E88" s="41" t="s">
        <v>107</v>
      </c>
      <c r="F88" s="41">
        <v>2021</v>
      </c>
      <c r="G88" s="41">
        <v>58</v>
      </c>
      <c r="H88" s="41" t="s">
        <v>35</v>
      </c>
      <c r="I88" s="41">
        <v>3</v>
      </c>
      <c r="J88" s="41" t="s">
        <v>32</v>
      </c>
      <c r="K88" s="41" t="s">
        <v>26</v>
      </c>
      <c r="L88" s="41" t="s">
        <v>27</v>
      </c>
      <c r="M88" s="41" t="s">
        <v>180</v>
      </c>
      <c r="N88" s="41" t="s">
        <v>181</v>
      </c>
      <c r="O88" s="41" t="s">
        <v>32</v>
      </c>
      <c r="P88" s="41" t="s">
        <v>181</v>
      </c>
      <c r="Q88" s="41" t="s">
        <v>31</v>
      </c>
      <c r="R88" s="41">
        <v>6</v>
      </c>
      <c r="S88" t="s">
        <v>183</v>
      </c>
    </row>
    <row r="89" spans="1:19" x14ac:dyDescent="0.2">
      <c r="A89" s="41" t="s">
        <v>208</v>
      </c>
      <c r="B89" s="41">
        <v>158291</v>
      </c>
      <c r="C89" s="41" t="s">
        <v>20</v>
      </c>
      <c r="D89" s="41" t="s">
        <v>21</v>
      </c>
      <c r="E89" s="41" t="s">
        <v>22</v>
      </c>
      <c r="F89" s="41">
        <v>2019</v>
      </c>
      <c r="G89" s="41">
        <v>69</v>
      </c>
      <c r="H89" s="41" t="s">
        <v>23</v>
      </c>
      <c r="I89" s="41" t="s">
        <v>32</v>
      </c>
      <c r="J89" s="41" t="s">
        <v>116</v>
      </c>
      <c r="K89" s="41" t="s">
        <v>26</v>
      </c>
      <c r="L89" s="41" t="s">
        <v>209</v>
      </c>
      <c r="M89" s="41" t="s">
        <v>28</v>
      </c>
      <c r="N89" s="41" t="s">
        <v>181</v>
      </c>
      <c r="O89" s="41">
        <v>2019</v>
      </c>
      <c r="P89" s="41" t="s">
        <v>181</v>
      </c>
      <c r="Q89" s="41" t="s">
        <v>31</v>
      </c>
      <c r="R89" s="41" t="s">
        <v>32</v>
      </c>
      <c r="S89" t="s">
        <v>33</v>
      </c>
    </row>
    <row r="90" spans="1:19" x14ac:dyDescent="0.2">
      <c r="A90" s="41" t="s">
        <v>210</v>
      </c>
      <c r="B90" s="41">
        <v>158521</v>
      </c>
      <c r="C90" s="41" t="s">
        <v>20</v>
      </c>
      <c r="D90" s="41" t="s">
        <v>21</v>
      </c>
      <c r="E90" s="41" t="s">
        <v>22</v>
      </c>
      <c r="F90" s="41">
        <v>2019</v>
      </c>
      <c r="G90" s="41">
        <v>61</v>
      </c>
      <c r="H90" s="41" t="s">
        <v>23</v>
      </c>
      <c r="I90" s="41" t="s">
        <v>32</v>
      </c>
      <c r="J90" s="41" t="s">
        <v>38</v>
      </c>
      <c r="K90" s="41" t="s">
        <v>26</v>
      </c>
      <c r="L90" s="41" t="s">
        <v>209</v>
      </c>
      <c r="M90" s="41" t="s">
        <v>28</v>
      </c>
      <c r="N90" s="41" t="s">
        <v>181</v>
      </c>
      <c r="O90" s="41">
        <v>2019</v>
      </c>
      <c r="P90" s="41" t="s">
        <v>181</v>
      </c>
      <c r="Q90" s="41" t="s">
        <v>31</v>
      </c>
      <c r="R90" s="41" t="s">
        <v>32</v>
      </c>
      <c r="S90" t="s">
        <v>33</v>
      </c>
    </row>
    <row r="91" spans="1:19" x14ac:dyDescent="0.2">
      <c r="A91" s="41" t="s">
        <v>211</v>
      </c>
      <c r="B91" s="41">
        <v>158557</v>
      </c>
      <c r="C91" s="41" t="s">
        <v>20</v>
      </c>
      <c r="D91" s="41" t="s">
        <v>21</v>
      </c>
      <c r="E91" s="41" t="s">
        <v>22</v>
      </c>
      <c r="F91" s="41">
        <v>2019</v>
      </c>
      <c r="G91" s="41">
        <v>68</v>
      </c>
      <c r="H91" s="41" t="s">
        <v>23</v>
      </c>
      <c r="I91" s="41" t="s">
        <v>116</v>
      </c>
      <c r="J91" s="41" t="s">
        <v>116</v>
      </c>
      <c r="K91" s="41" t="s">
        <v>26</v>
      </c>
      <c r="L91" s="41" t="s">
        <v>27</v>
      </c>
      <c r="M91" s="41" t="s">
        <v>28</v>
      </c>
      <c r="N91" s="41" t="s">
        <v>181</v>
      </c>
      <c r="O91" s="41">
        <v>2019</v>
      </c>
      <c r="P91" s="41" t="s">
        <v>181</v>
      </c>
      <c r="Q91" s="41" t="s">
        <v>31</v>
      </c>
      <c r="R91" s="41" t="s">
        <v>32</v>
      </c>
      <c r="S91" t="s">
        <v>33</v>
      </c>
    </row>
    <row r="92" spans="1:19" x14ac:dyDescent="0.2">
      <c r="A92" s="41" t="s">
        <v>212</v>
      </c>
      <c r="B92" s="41">
        <v>160759</v>
      </c>
      <c r="C92" s="41" t="s">
        <v>20</v>
      </c>
      <c r="D92" s="41" t="s">
        <v>21</v>
      </c>
      <c r="E92" s="41" t="s">
        <v>22</v>
      </c>
      <c r="F92" s="41">
        <v>2020</v>
      </c>
      <c r="G92" s="41">
        <v>58</v>
      </c>
      <c r="H92" s="41" t="s">
        <v>35</v>
      </c>
      <c r="I92" s="41" t="s">
        <v>32</v>
      </c>
      <c r="J92" s="41">
        <v>3</v>
      </c>
      <c r="K92" s="41" t="s">
        <v>26</v>
      </c>
      <c r="L92" s="41" t="s">
        <v>209</v>
      </c>
      <c r="M92" s="41" t="s">
        <v>28</v>
      </c>
      <c r="N92" s="41" t="s">
        <v>181</v>
      </c>
      <c r="O92" s="41">
        <v>2020</v>
      </c>
      <c r="P92" s="41" t="s">
        <v>181</v>
      </c>
      <c r="Q92" s="41" t="s">
        <v>31</v>
      </c>
      <c r="R92" s="41" t="s">
        <v>32</v>
      </c>
      <c r="S92" t="s">
        <v>33</v>
      </c>
    </row>
    <row r="93" spans="1:19" x14ac:dyDescent="0.2">
      <c r="A93" s="41" t="s">
        <v>213</v>
      </c>
      <c r="B93" s="41">
        <v>162928</v>
      </c>
      <c r="C93" s="41" t="s">
        <v>20</v>
      </c>
      <c r="D93" s="41" t="s">
        <v>21</v>
      </c>
      <c r="E93" s="41" t="s">
        <v>22</v>
      </c>
      <c r="F93" s="41">
        <v>2021</v>
      </c>
      <c r="G93" s="41">
        <v>66</v>
      </c>
      <c r="H93" s="41" t="s">
        <v>23</v>
      </c>
      <c r="I93" s="41" t="s">
        <v>32</v>
      </c>
      <c r="J93" s="41" t="s">
        <v>116</v>
      </c>
      <c r="K93" s="41" t="s">
        <v>26</v>
      </c>
      <c r="L93" s="41" t="s">
        <v>209</v>
      </c>
      <c r="M93" s="41" t="s">
        <v>28</v>
      </c>
      <c r="N93" s="41" t="s">
        <v>181</v>
      </c>
      <c r="O93" s="41">
        <v>2021</v>
      </c>
      <c r="P93" s="41" t="s">
        <v>181</v>
      </c>
      <c r="Q93" s="41" t="s">
        <v>31</v>
      </c>
      <c r="R93" s="41" t="s">
        <v>32</v>
      </c>
      <c r="S93" t="s">
        <v>33</v>
      </c>
    </row>
    <row r="94" spans="1:19" x14ac:dyDescent="0.2">
      <c r="A94" s="41" t="s">
        <v>214</v>
      </c>
      <c r="B94" s="41">
        <v>164337</v>
      </c>
      <c r="C94" s="41" t="s">
        <v>20</v>
      </c>
      <c r="D94" s="41" t="s">
        <v>21</v>
      </c>
      <c r="E94" s="41" t="s">
        <v>22</v>
      </c>
      <c r="F94" s="41">
        <v>2021</v>
      </c>
      <c r="G94" s="41">
        <v>67</v>
      </c>
      <c r="H94" s="41" t="s">
        <v>23</v>
      </c>
      <c r="I94" s="41" t="s">
        <v>32</v>
      </c>
      <c r="J94" s="41" t="s">
        <v>116</v>
      </c>
      <c r="K94" s="41" t="s">
        <v>26</v>
      </c>
      <c r="L94" s="41" t="s">
        <v>209</v>
      </c>
      <c r="M94" s="41" t="s">
        <v>28</v>
      </c>
      <c r="N94" s="41" t="s">
        <v>181</v>
      </c>
      <c r="O94" s="41">
        <v>2021</v>
      </c>
      <c r="P94" s="41" t="s">
        <v>181</v>
      </c>
      <c r="Q94" s="41" t="s">
        <v>31</v>
      </c>
      <c r="R94" s="41" t="s">
        <v>32</v>
      </c>
      <c r="S94" t="s">
        <v>33</v>
      </c>
    </row>
    <row r="95" spans="1:19" x14ac:dyDescent="0.2">
      <c r="A95" s="41" t="s">
        <v>215</v>
      </c>
      <c r="B95" s="41">
        <v>164644</v>
      </c>
      <c r="C95" s="41" t="s">
        <v>51</v>
      </c>
      <c r="D95" s="41" t="s">
        <v>21</v>
      </c>
      <c r="E95" s="41" t="s">
        <v>22</v>
      </c>
      <c r="F95" s="41">
        <v>2021</v>
      </c>
      <c r="G95" s="41">
        <v>80</v>
      </c>
      <c r="H95" s="41" t="s">
        <v>73</v>
      </c>
      <c r="I95" s="41" t="s">
        <v>116</v>
      </c>
      <c r="J95" s="41" t="s">
        <v>116</v>
      </c>
      <c r="K95" s="41" t="s">
        <v>26</v>
      </c>
      <c r="L95" s="41" t="s">
        <v>27</v>
      </c>
      <c r="M95" s="41" t="s">
        <v>28</v>
      </c>
      <c r="N95" s="41" t="s">
        <v>181</v>
      </c>
      <c r="O95" s="41">
        <v>2021</v>
      </c>
      <c r="P95" s="41" t="s">
        <v>181</v>
      </c>
      <c r="Q95" s="41" t="s">
        <v>31</v>
      </c>
      <c r="R95" s="41" t="s">
        <v>32</v>
      </c>
      <c r="S95" t="s">
        <v>33</v>
      </c>
    </row>
    <row r="96" spans="1:19" x14ac:dyDescent="0.2">
      <c r="A96" s="41" t="s">
        <v>216</v>
      </c>
      <c r="B96" s="41">
        <v>166152</v>
      </c>
      <c r="C96" s="41" t="s">
        <v>51</v>
      </c>
      <c r="D96" s="41" t="s">
        <v>21</v>
      </c>
      <c r="E96" s="41" t="s">
        <v>22</v>
      </c>
      <c r="F96" s="41">
        <v>2021</v>
      </c>
      <c r="G96" s="41">
        <v>65</v>
      </c>
      <c r="H96" s="41" t="s">
        <v>23</v>
      </c>
      <c r="I96" s="41" t="s">
        <v>32</v>
      </c>
      <c r="J96" s="41">
        <v>3</v>
      </c>
      <c r="K96" s="41" t="s">
        <v>26</v>
      </c>
      <c r="L96" s="41" t="s">
        <v>209</v>
      </c>
      <c r="M96" s="41" t="s">
        <v>28</v>
      </c>
      <c r="N96" s="41" t="s">
        <v>181</v>
      </c>
      <c r="O96" s="41">
        <v>2021</v>
      </c>
      <c r="P96" s="41" t="s">
        <v>181</v>
      </c>
      <c r="Q96" s="41" t="s">
        <v>31</v>
      </c>
      <c r="R96" s="41" t="s">
        <v>32</v>
      </c>
      <c r="S96" t="s">
        <v>33</v>
      </c>
    </row>
    <row r="97" spans="1:19" x14ac:dyDescent="0.2">
      <c r="A97" s="41" t="s">
        <v>217</v>
      </c>
      <c r="B97" s="41">
        <v>166996</v>
      </c>
      <c r="C97" s="41" t="s">
        <v>20</v>
      </c>
      <c r="D97" s="41" t="s">
        <v>21</v>
      </c>
      <c r="E97" s="41" t="s">
        <v>22</v>
      </c>
      <c r="F97" s="41">
        <v>2022</v>
      </c>
      <c r="G97" s="41">
        <v>66</v>
      </c>
      <c r="H97" s="41" t="s">
        <v>23</v>
      </c>
      <c r="I97" s="41" t="s">
        <v>116</v>
      </c>
      <c r="J97" s="41" t="s">
        <v>116</v>
      </c>
      <c r="K97" s="41" t="s">
        <v>26</v>
      </c>
      <c r="L97" s="41" t="s">
        <v>27</v>
      </c>
      <c r="M97" s="41" t="s">
        <v>28</v>
      </c>
      <c r="N97" s="41" t="s">
        <v>181</v>
      </c>
      <c r="O97" s="41">
        <v>2022</v>
      </c>
      <c r="P97" s="41" t="s">
        <v>181</v>
      </c>
      <c r="Q97" s="41" t="s">
        <v>31</v>
      </c>
      <c r="R97" s="41" t="s">
        <v>32</v>
      </c>
      <c r="S97" t="s">
        <v>33</v>
      </c>
    </row>
    <row r="98" spans="1:19" x14ac:dyDescent="0.2">
      <c r="A98" s="41" t="s">
        <v>218</v>
      </c>
      <c r="B98" s="41">
        <v>167341</v>
      </c>
      <c r="C98" s="41" t="s">
        <v>20</v>
      </c>
      <c r="D98" s="41" t="s">
        <v>21</v>
      </c>
      <c r="E98" s="41" t="s">
        <v>22</v>
      </c>
      <c r="F98" s="41">
        <v>2022</v>
      </c>
      <c r="G98" s="41">
        <v>45</v>
      </c>
      <c r="H98" s="41" t="s">
        <v>88</v>
      </c>
      <c r="I98" s="41" t="s">
        <v>32</v>
      </c>
      <c r="J98" s="41">
        <v>3</v>
      </c>
      <c r="K98" s="41" t="s">
        <v>26</v>
      </c>
      <c r="L98" s="41" t="s">
        <v>209</v>
      </c>
      <c r="M98" s="41" t="s">
        <v>28</v>
      </c>
      <c r="N98" s="41" t="s">
        <v>181</v>
      </c>
      <c r="O98" s="41">
        <v>2022</v>
      </c>
      <c r="P98" s="41" t="s">
        <v>181</v>
      </c>
      <c r="Q98" s="41" t="s">
        <v>31</v>
      </c>
      <c r="R98" s="41" t="s">
        <v>32</v>
      </c>
      <c r="S98" t="s">
        <v>33</v>
      </c>
    </row>
    <row r="99" spans="1:19" x14ac:dyDescent="0.2">
      <c r="A99" s="41" t="s">
        <v>219</v>
      </c>
      <c r="B99" s="41">
        <v>167467</v>
      </c>
      <c r="C99" s="41" t="s">
        <v>20</v>
      </c>
      <c r="D99" s="41" t="s">
        <v>21</v>
      </c>
      <c r="E99" s="41" t="s">
        <v>22</v>
      </c>
      <c r="F99" s="41">
        <v>2022</v>
      </c>
      <c r="G99" s="41">
        <v>67</v>
      </c>
      <c r="H99" s="41" t="s">
        <v>23</v>
      </c>
      <c r="I99" s="41" t="s">
        <v>32</v>
      </c>
      <c r="J99" s="41" t="s">
        <v>38</v>
      </c>
      <c r="K99" s="41" t="s">
        <v>26</v>
      </c>
      <c r="L99" s="41" t="s">
        <v>209</v>
      </c>
      <c r="M99" s="41" t="s">
        <v>28</v>
      </c>
      <c r="N99" s="41" t="s">
        <v>181</v>
      </c>
      <c r="O99" s="41">
        <v>2022</v>
      </c>
      <c r="P99" s="41" t="s">
        <v>181</v>
      </c>
      <c r="Q99" s="41" t="s">
        <v>31</v>
      </c>
      <c r="R99" s="41" t="s">
        <v>32</v>
      </c>
      <c r="S99" t="s">
        <v>33</v>
      </c>
    </row>
    <row r="100" spans="1:19" x14ac:dyDescent="0.2">
      <c r="A100" s="41" t="s">
        <v>220</v>
      </c>
      <c r="B100" s="41">
        <v>166788</v>
      </c>
      <c r="C100" s="43" t="s">
        <v>20</v>
      </c>
      <c r="D100" s="43" t="s">
        <v>21</v>
      </c>
      <c r="E100" s="43" t="s">
        <v>22</v>
      </c>
      <c r="F100" s="42">
        <v>2022</v>
      </c>
      <c r="G100" s="42">
        <v>67</v>
      </c>
      <c r="H100" s="41" t="s">
        <v>23</v>
      </c>
      <c r="I100" s="41" t="s">
        <v>32</v>
      </c>
      <c r="J100" s="41">
        <v>3</v>
      </c>
      <c r="K100" s="41" t="s">
        <v>26</v>
      </c>
      <c r="L100" s="41" t="s">
        <v>209</v>
      </c>
      <c r="M100" s="43" t="s">
        <v>28</v>
      </c>
      <c r="N100" s="43" t="s">
        <v>221</v>
      </c>
      <c r="O100" s="42">
        <v>2022</v>
      </c>
      <c r="P100" s="41" t="s">
        <v>181</v>
      </c>
      <c r="Q100" s="41"/>
      <c r="R100" s="41" t="s">
        <v>32</v>
      </c>
      <c r="S100" t="s">
        <v>33</v>
      </c>
    </row>
    <row r="101" spans="1:19" ht="16" customHeight="1" x14ac:dyDescent="0.2">
      <c r="A101" s="41" t="s">
        <v>222</v>
      </c>
      <c r="B101" s="41" t="s">
        <v>223</v>
      </c>
      <c r="C101" s="92" t="s">
        <v>20</v>
      </c>
      <c r="D101" s="92" t="s">
        <v>106</v>
      </c>
      <c r="E101" s="92" t="s">
        <v>107</v>
      </c>
      <c r="F101" s="50">
        <v>2021</v>
      </c>
      <c r="G101" s="90">
        <v>59</v>
      </c>
      <c r="H101" s="41" t="s">
        <v>35</v>
      </c>
      <c r="I101" s="41" t="s">
        <v>224</v>
      </c>
      <c r="J101" s="41" t="s">
        <v>32</v>
      </c>
      <c r="K101" s="41" t="s">
        <v>26</v>
      </c>
      <c r="L101" s="41" t="s">
        <v>27</v>
      </c>
      <c r="M101" s="51" t="s">
        <v>180</v>
      </c>
      <c r="N101" s="52" t="s">
        <v>225</v>
      </c>
      <c r="O101" s="52" t="s">
        <v>32</v>
      </c>
      <c r="P101" s="41" t="s">
        <v>181</v>
      </c>
      <c r="Q101" s="41"/>
      <c r="R101" s="51" t="s">
        <v>226</v>
      </c>
      <c r="S101" t="s">
        <v>183</v>
      </c>
    </row>
    <row r="102" spans="1:19" ht="17" customHeight="1" x14ac:dyDescent="0.2">
      <c r="A102" s="56" t="s">
        <v>227</v>
      </c>
      <c r="B102" s="56" t="s">
        <v>228</v>
      </c>
      <c r="C102" s="101" t="s">
        <v>20</v>
      </c>
      <c r="D102" s="101" t="s">
        <v>106</v>
      </c>
      <c r="E102" s="101" t="s">
        <v>107</v>
      </c>
      <c r="F102" s="56">
        <v>2021</v>
      </c>
      <c r="G102" s="91">
        <v>51</v>
      </c>
      <c r="H102" s="56" t="s">
        <v>35</v>
      </c>
      <c r="I102" s="56" t="s">
        <v>54</v>
      </c>
      <c r="J102" s="56" t="s">
        <v>32</v>
      </c>
      <c r="K102" s="56" t="s">
        <v>26</v>
      </c>
      <c r="L102" s="56" t="s">
        <v>27</v>
      </c>
      <c r="M102" s="102" t="s">
        <v>180</v>
      </c>
      <c r="N102" s="57" t="s">
        <v>225</v>
      </c>
      <c r="O102" s="57" t="s">
        <v>32</v>
      </c>
      <c r="P102" s="56" t="s">
        <v>181</v>
      </c>
      <c r="Q102" s="56"/>
      <c r="R102" s="103" t="s">
        <v>229</v>
      </c>
      <c r="S102" t="s">
        <v>183</v>
      </c>
    </row>
    <row r="103" spans="1:19" x14ac:dyDescent="0.2">
      <c r="A103" s="41" t="s">
        <v>230</v>
      </c>
      <c r="B103" s="41">
        <v>158194</v>
      </c>
      <c r="C103" s="41" t="s">
        <v>20</v>
      </c>
      <c r="D103" s="41" t="s">
        <v>21</v>
      </c>
      <c r="E103" s="41" t="s">
        <v>22</v>
      </c>
      <c r="F103" s="41">
        <v>2019</v>
      </c>
      <c r="G103" s="41">
        <v>72</v>
      </c>
      <c r="H103" s="41" t="s">
        <v>46</v>
      </c>
      <c r="I103" s="41" t="s">
        <v>25</v>
      </c>
      <c r="J103" s="41" t="s">
        <v>47</v>
      </c>
      <c r="K103" s="41" t="s">
        <v>26</v>
      </c>
      <c r="L103" s="41" t="s">
        <v>27</v>
      </c>
      <c r="M103" s="41" t="s">
        <v>28</v>
      </c>
      <c r="N103" s="41" t="s">
        <v>231</v>
      </c>
      <c r="O103" s="41">
        <v>2019</v>
      </c>
      <c r="P103" s="41" t="s">
        <v>232</v>
      </c>
      <c r="Q103" s="41" t="s">
        <v>31</v>
      </c>
      <c r="R103" s="41" t="s">
        <v>32</v>
      </c>
      <c r="S103" s="41" t="s">
        <v>33</v>
      </c>
    </row>
    <row r="104" spans="1:19" x14ac:dyDescent="0.2">
      <c r="A104" s="41" t="s">
        <v>233</v>
      </c>
      <c r="B104" s="41">
        <v>158287</v>
      </c>
      <c r="C104" s="41" t="s">
        <v>20</v>
      </c>
      <c r="D104" s="41" t="s">
        <v>21</v>
      </c>
      <c r="E104" s="41" t="s">
        <v>22</v>
      </c>
      <c r="F104" s="41">
        <v>2019</v>
      </c>
      <c r="G104" s="41">
        <v>54</v>
      </c>
      <c r="H104" s="41" t="s">
        <v>35</v>
      </c>
      <c r="I104" s="41" t="s">
        <v>25</v>
      </c>
      <c r="J104" s="41" t="s">
        <v>47</v>
      </c>
      <c r="K104" s="41" t="s">
        <v>26</v>
      </c>
      <c r="L104" s="41" t="s">
        <v>27</v>
      </c>
      <c r="M104" s="41" t="s">
        <v>28</v>
      </c>
      <c r="N104" s="41" t="s">
        <v>231</v>
      </c>
      <c r="O104" s="41">
        <v>2019</v>
      </c>
      <c r="P104" s="41" t="s">
        <v>232</v>
      </c>
      <c r="Q104" s="41" t="s">
        <v>31</v>
      </c>
      <c r="R104" s="41" t="s">
        <v>32</v>
      </c>
      <c r="S104" s="41" t="s">
        <v>33</v>
      </c>
    </row>
    <row r="105" spans="1:19" x14ac:dyDescent="0.2">
      <c r="A105" s="41" t="s">
        <v>234</v>
      </c>
      <c r="B105" s="41">
        <v>158578</v>
      </c>
      <c r="C105" s="41" t="s">
        <v>20</v>
      </c>
      <c r="D105" s="41" t="s">
        <v>97</v>
      </c>
      <c r="E105" s="41" t="s">
        <v>235</v>
      </c>
      <c r="F105" s="41">
        <v>2019</v>
      </c>
      <c r="G105" s="41">
        <v>61</v>
      </c>
      <c r="H105" s="41" t="s">
        <v>23</v>
      </c>
      <c r="I105" s="41" t="s">
        <v>42</v>
      </c>
      <c r="J105" s="41" t="s">
        <v>42</v>
      </c>
      <c r="K105" s="41" t="s">
        <v>26</v>
      </c>
      <c r="L105" s="41" t="s">
        <v>27</v>
      </c>
      <c r="M105" s="41" t="s">
        <v>28</v>
      </c>
      <c r="N105" s="41" t="s">
        <v>231</v>
      </c>
      <c r="O105" s="41">
        <v>2019</v>
      </c>
      <c r="P105" s="41" t="s">
        <v>232</v>
      </c>
      <c r="Q105" s="41" t="s">
        <v>31</v>
      </c>
      <c r="R105" s="41" t="s">
        <v>32</v>
      </c>
      <c r="S105" s="41" t="s">
        <v>33</v>
      </c>
    </row>
    <row r="106" spans="1:19" x14ac:dyDescent="0.2">
      <c r="A106" s="41" t="s">
        <v>236</v>
      </c>
      <c r="B106" s="41">
        <v>158621</v>
      </c>
      <c r="C106" s="41" t="s">
        <v>20</v>
      </c>
      <c r="D106" s="41" t="s">
        <v>21</v>
      </c>
      <c r="E106" s="41" t="s">
        <v>22</v>
      </c>
      <c r="F106" s="41">
        <v>2019</v>
      </c>
      <c r="G106" s="41">
        <v>58</v>
      </c>
      <c r="H106" s="41" t="s">
        <v>35</v>
      </c>
      <c r="I106" s="41" t="s">
        <v>76</v>
      </c>
      <c r="J106" s="41" t="s">
        <v>76</v>
      </c>
      <c r="K106" s="41" t="s">
        <v>26</v>
      </c>
      <c r="L106" s="41" t="s">
        <v>27</v>
      </c>
      <c r="M106" s="41" t="s">
        <v>28</v>
      </c>
      <c r="N106" s="41" t="s">
        <v>231</v>
      </c>
      <c r="O106" s="41">
        <v>2019</v>
      </c>
      <c r="P106" s="41" t="s">
        <v>232</v>
      </c>
      <c r="Q106" s="41" t="s">
        <v>31</v>
      </c>
      <c r="R106" s="41" t="s">
        <v>32</v>
      </c>
      <c r="S106" s="41" t="s">
        <v>33</v>
      </c>
    </row>
    <row r="107" spans="1:19" x14ac:dyDescent="0.2">
      <c r="A107" s="41" t="s">
        <v>237</v>
      </c>
      <c r="B107" s="41">
        <v>158781</v>
      </c>
      <c r="C107" s="41" t="s">
        <v>20</v>
      </c>
      <c r="D107" s="41" t="s">
        <v>21</v>
      </c>
      <c r="E107" s="41" t="s">
        <v>22</v>
      </c>
      <c r="F107" s="41">
        <v>2019</v>
      </c>
      <c r="G107" s="41">
        <v>49</v>
      </c>
      <c r="H107" s="41" t="s">
        <v>88</v>
      </c>
      <c r="I107" s="41" t="s">
        <v>25</v>
      </c>
      <c r="J107" s="41" t="s">
        <v>24</v>
      </c>
      <c r="K107" s="41" t="s">
        <v>26</v>
      </c>
      <c r="L107" s="41" t="s">
        <v>27</v>
      </c>
      <c r="M107" s="41" t="s">
        <v>28</v>
      </c>
      <c r="N107" s="41" t="s">
        <v>231</v>
      </c>
      <c r="O107" s="41">
        <v>2019</v>
      </c>
      <c r="P107" s="41" t="s">
        <v>232</v>
      </c>
      <c r="Q107" s="41" t="s">
        <v>31</v>
      </c>
      <c r="R107" s="41" t="s">
        <v>32</v>
      </c>
      <c r="S107" s="41" t="s">
        <v>33</v>
      </c>
    </row>
    <row r="108" spans="1:19" x14ac:dyDescent="0.2">
      <c r="A108" s="41" t="s">
        <v>238</v>
      </c>
      <c r="B108" s="41">
        <v>158791</v>
      </c>
      <c r="C108" s="41" t="s">
        <v>20</v>
      </c>
      <c r="D108" s="41" t="s">
        <v>21</v>
      </c>
      <c r="E108" s="41" t="s">
        <v>22</v>
      </c>
      <c r="F108" s="41">
        <v>2019</v>
      </c>
      <c r="G108" s="41">
        <v>57</v>
      </c>
      <c r="H108" s="41" t="s">
        <v>35</v>
      </c>
      <c r="I108" s="41" t="s">
        <v>42</v>
      </c>
      <c r="J108" s="41" t="s">
        <v>42</v>
      </c>
      <c r="K108" s="41" t="s">
        <v>26</v>
      </c>
      <c r="L108" s="41" t="s">
        <v>27</v>
      </c>
      <c r="M108" s="41" t="s">
        <v>28</v>
      </c>
      <c r="N108" s="41" t="s">
        <v>231</v>
      </c>
      <c r="O108" s="41">
        <v>2019</v>
      </c>
      <c r="P108" s="41" t="s">
        <v>232</v>
      </c>
      <c r="Q108" s="41" t="s">
        <v>31</v>
      </c>
      <c r="R108" s="41" t="s">
        <v>32</v>
      </c>
      <c r="S108" s="41" t="s">
        <v>33</v>
      </c>
    </row>
    <row r="109" spans="1:19" x14ac:dyDescent="0.2">
      <c r="A109" s="41" t="s">
        <v>239</v>
      </c>
      <c r="B109" s="41">
        <v>159092</v>
      </c>
      <c r="C109" s="41" t="s">
        <v>20</v>
      </c>
      <c r="D109" s="41" t="s">
        <v>21</v>
      </c>
      <c r="E109" s="41" t="s">
        <v>22</v>
      </c>
      <c r="F109" s="41">
        <v>2019</v>
      </c>
      <c r="G109" s="41">
        <v>50</v>
      </c>
      <c r="H109" s="41" t="s">
        <v>35</v>
      </c>
      <c r="I109" s="41" t="s">
        <v>25</v>
      </c>
      <c r="J109" s="41" t="s">
        <v>38</v>
      </c>
      <c r="K109" s="41" t="s">
        <v>26</v>
      </c>
      <c r="L109" s="41" t="s">
        <v>27</v>
      </c>
      <c r="M109" s="41" t="s">
        <v>28</v>
      </c>
      <c r="N109" s="41" t="s">
        <v>231</v>
      </c>
      <c r="O109" s="41">
        <v>2019</v>
      </c>
      <c r="P109" s="41" t="s">
        <v>232</v>
      </c>
      <c r="Q109" s="41" t="s">
        <v>31</v>
      </c>
      <c r="R109" s="41" t="s">
        <v>32</v>
      </c>
      <c r="S109" s="41" t="s">
        <v>33</v>
      </c>
    </row>
    <row r="110" spans="1:19" x14ac:dyDescent="0.2">
      <c r="A110" s="41" t="s">
        <v>240</v>
      </c>
      <c r="B110" s="41">
        <v>159265</v>
      </c>
      <c r="C110" s="41" t="s">
        <v>20</v>
      </c>
      <c r="D110" s="41" t="s">
        <v>21</v>
      </c>
      <c r="E110" s="41" t="s">
        <v>22</v>
      </c>
      <c r="F110" s="41">
        <v>2019</v>
      </c>
      <c r="G110" s="41">
        <v>69</v>
      </c>
      <c r="H110" s="41" t="s">
        <v>23</v>
      </c>
      <c r="I110" s="41">
        <v>99</v>
      </c>
      <c r="J110" s="41" t="s">
        <v>24</v>
      </c>
      <c r="K110" s="41" t="s">
        <v>26</v>
      </c>
      <c r="L110" s="41" t="s">
        <v>27</v>
      </c>
      <c r="M110" s="41" t="s">
        <v>28</v>
      </c>
      <c r="N110" s="41" t="s">
        <v>231</v>
      </c>
      <c r="O110" s="41">
        <v>2019</v>
      </c>
      <c r="P110" s="41" t="s">
        <v>232</v>
      </c>
      <c r="Q110" s="41" t="s">
        <v>31</v>
      </c>
      <c r="R110" s="41" t="s">
        <v>32</v>
      </c>
      <c r="S110" s="41" t="s">
        <v>33</v>
      </c>
    </row>
    <row r="111" spans="1:19" x14ac:dyDescent="0.2">
      <c r="A111" s="41" t="s">
        <v>241</v>
      </c>
      <c r="B111" s="41">
        <v>159766</v>
      </c>
      <c r="C111" s="41" t="s">
        <v>20</v>
      </c>
      <c r="D111" s="41" t="s">
        <v>21</v>
      </c>
      <c r="E111" s="41" t="s">
        <v>22</v>
      </c>
      <c r="F111" s="41">
        <v>2019</v>
      </c>
      <c r="G111" s="41">
        <v>63</v>
      </c>
      <c r="H111" s="41" t="s">
        <v>23</v>
      </c>
      <c r="I111" s="41" t="s">
        <v>25</v>
      </c>
      <c r="J111" s="41" t="s">
        <v>38</v>
      </c>
      <c r="K111" s="41" t="s">
        <v>26</v>
      </c>
      <c r="L111" s="41" t="s">
        <v>27</v>
      </c>
      <c r="M111" s="41" t="s">
        <v>28</v>
      </c>
      <c r="N111" s="41" t="s">
        <v>231</v>
      </c>
      <c r="O111" s="41">
        <v>2019</v>
      </c>
      <c r="P111" s="41" t="s">
        <v>232</v>
      </c>
      <c r="Q111" s="41" t="s">
        <v>31</v>
      </c>
      <c r="R111" s="41" t="s">
        <v>32</v>
      </c>
      <c r="S111" s="41" t="s">
        <v>33</v>
      </c>
    </row>
    <row r="112" spans="1:19" x14ac:dyDescent="0.2">
      <c r="A112" s="41" t="s">
        <v>242</v>
      </c>
      <c r="B112" s="41">
        <v>162487</v>
      </c>
      <c r="C112" s="41" t="s">
        <v>20</v>
      </c>
      <c r="D112" s="41" t="s">
        <v>21</v>
      </c>
      <c r="E112" s="41" t="s">
        <v>22</v>
      </c>
      <c r="F112" s="41">
        <v>2020</v>
      </c>
      <c r="G112" s="41">
        <v>57</v>
      </c>
      <c r="H112" s="41" t="s">
        <v>35</v>
      </c>
      <c r="I112" s="41" t="s">
        <v>42</v>
      </c>
      <c r="J112" s="41" t="s">
        <v>54</v>
      </c>
      <c r="K112" s="41" t="s">
        <v>26</v>
      </c>
      <c r="L112" s="41" t="s">
        <v>27</v>
      </c>
      <c r="M112" s="41" t="s">
        <v>28</v>
      </c>
      <c r="N112" s="41" t="s">
        <v>231</v>
      </c>
      <c r="O112" s="41">
        <v>2020</v>
      </c>
      <c r="P112" s="41" t="s">
        <v>232</v>
      </c>
      <c r="Q112" s="41" t="s">
        <v>31</v>
      </c>
      <c r="R112" s="41" t="s">
        <v>32</v>
      </c>
      <c r="S112" s="41" t="s">
        <v>33</v>
      </c>
    </row>
    <row r="113" spans="1:21" x14ac:dyDescent="0.2">
      <c r="A113" s="41" t="s">
        <v>243</v>
      </c>
      <c r="B113" s="41">
        <v>163948</v>
      </c>
      <c r="C113" s="41" t="s">
        <v>20</v>
      </c>
      <c r="D113" s="41" t="s">
        <v>21</v>
      </c>
      <c r="E113" s="41" t="s">
        <v>22</v>
      </c>
      <c r="F113" s="41">
        <v>2021</v>
      </c>
      <c r="G113" s="41">
        <v>51</v>
      </c>
      <c r="H113" s="41" t="s">
        <v>35</v>
      </c>
      <c r="I113" s="41" t="s">
        <v>25</v>
      </c>
      <c r="J113" s="41" t="s">
        <v>25</v>
      </c>
      <c r="K113" s="41" t="s">
        <v>26</v>
      </c>
      <c r="L113" s="41" t="s">
        <v>27</v>
      </c>
      <c r="M113" s="41" t="s">
        <v>28</v>
      </c>
      <c r="N113" s="41" t="s">
        <v>231</v>
      </c>
      <c r="O113" s="41">
        <v>2021</v>
      </c>
      <c r="P113" s="41" t="s">
        <v>232</v>
      </c>
      <c r="Q113" s="41" t="s">
        <v>31</v>
      </c>
      <c r="R113" s="41" t="s">
        <v>32</v>
      </c>
      <c r="S113" s="41" t="s">
        <v>33</v>
      </c>
    </row>
    <row r="114" spans="1:21" x14ac:dyDescent="0.2">
      <c r="A114" s="41" t="s">
        <v>244</v>
      </c>
      <c r="B114" s="41">
        <v>163978</v>
      </c>
      <c r="C114" s="41" t="s">
        <v>20</v>
      </c>
      <c r="D114" s="41" t="s">
        <v>21</v>
      </c>
      <c r="E114" s="41" t="s">
        <v>22</v>
      </c>
      <c r="F114" s="41">
        <v>2021</v>
      </c>
      <c r="G114" s="41">
        <v>75</v>
      </c>
      <c r="H114" s="41" t="s">
        <v>46</v>
      </c>
      <c r="I114" s="41" t="s">
        <v>25</v>
      </c>
      <c r="J114" s="41" t="s">
        <v>25</v>
      </c>
      <c r="K114" s="41" t="s">
        <v>26</v>
      </c>
      <c r="L114" s="41" t="s">
        <v>27</v>
      </c>
      <c r="M114" s="41" t="s">
        <v>28</v>
      </c>
      <c r="N114" s="41" t="s">
        <v>231</v>
      </c>
      <c r="O114" s="41">
        <v>2021</v>
      </c>
      <c r="P114" s="41" t="s">
        <v>232</v>
      </c>
      <c r="Q114" s="41" t="s">
        <v>31</v>
      </c>
      <c r="R114" s="41" t="s">
        <v>32</v>
      </c>
      <c r="S114" s="41" t="s">
        <v>33</v>
      </c>
    </row>
    <row r="115" spans="1:21" x14ac:dyDescent="0.2">
      <c r="A115" s="41" t="s">
        <v>245</v>
      </c>
      <c r="B115" s="41">
        <v>165202</v>
      </c>
      <c r="C115" s="41" t="s">
        <v>20</v>
      </c>
      <c r="D115" s="41" t="s">
        <v>21</v>
      </c>
      <c r="E115" s="41" t="s">
        <v>22</v>
      </c>
      <c r="F115" s="41">
        <v>2021</v>
      </c>
      <c r="G115" s="41">
        <v>71</v>
      </c>
      <c r="H115" s="41" t="s">
        <v>46</v>
      </c>
      <c r="I115" s="41" t="s">
        <v>76</v>
      </c>
      <c r="J115" s="41" t="s">
        <v>54</v>
      </c>
      <c r="K115" s="41" t="s">
        <v>26</v>
      </c>
      <c r="L115" s="41" t="s">
        <v>27</v>
      </c>
      <c r="M115" s="41" t="s">
        <v>28</v>
      </c>
      <c r="N115" s="41" t="s">
        <v>231</v>
      </c>
      <c r="O115" s="41">
        <v>2021</v>
      </c>
      <c r="P115" s="41" t="s">
        <v>232</v>
      </c>
      <c r="Q115" s="41" t="s">
        <v>31</v>
      </c>
      <c r="R115" s="41" t="s">
        <v>32</v>
      </c>
      <c r="S115" s="41" t="s">
        <v>33</v>
      </c>
    </row>
    <row r="116" spans="1:21" s="100" customFormat="1" x14ac:dyDescent="0.2">
      <c r="A116" s="100" t="s">
        <v>246</v>
      </c>
      <c r="B116" s="100">
        <v>165730</v>
      </c>
      <c r="C116" s="100" t="s">
        <v>20</v>
      </c>
      <c r="D116" s="100" t="s">
        <v>21</v>
      </c>
      <c r="E116" s="100" t="s">
        <v>22</v>
      </c>
      <c r="F116" s="100">
        <v>2021</v>
      </c>
      <c r="G116" s="100">
        <v>57</v>
      </c>
      <c r="H116" s="100" t="s">
        <v>35</v>
      </c>
      <c r="I116" s="100" t="s">
        <v>25</v>
      </c>
      <c r="J116" s="100" t="s">
        <v>25</v>
      </c>
      <c r="K116" s="100" t="s">
        <v>26</v>
      </c>
      <c r="L116" s="100" t="s">
        <v>27</v>
      </c>
      <c r="M116" s="100" t="s">
        <v>28</v>
      </c>
      <c r="N116" s="100" t="s">
        <v>231</v>
      </c>
      <c r="O116" s="100">
        <v>2021</v>
      </c>
      <c r="P116" s="100" t="s">
        <v>232</v>
      </c>
      <c r="Q116" s="100" t="s">
        <v>31</v>
      </c>
      <c r="R116" s="100" t="s">
        <v>32</v>
      </c>
      <c r="S116" s="100" t="s">
        <v>33</v>
      </c>
      <c r="U116" s="100" t="s">
        <v>247</v>
      </c>
    </row>
    <row r="117" spans="1:21" x14ac:dyDescent="0.2">
      <c r="A117" s="41" t="s">
        <v>248</v>
      </c>
      <c r="B117" s="41">
        <v>166048</v>
      </c>
      <c r="C117" s="41" t="s">
        <v>20</v>
      </c>
      <c r="D117" s="41" t="s">
        <v>21</v>
      </c>
      <c r="E117" s="41" t="s">
        <v>22</v>
      </c>
      <c r="F117" s="41">
        <v>2021</v>
      </c>
      <c r="G117" s="41">
        <v>68</v>
      </c>
      <c r="H117" s="41" t="s">
        <v>23</v>
      </c>
      <c r="I117" s="41" t="s">
        <v>116</v>
      </c>
      <c r="J117" s="41" t="s">
        <v>116</v>
      </c>
      <c r="K117" s="41" t="s">
        <v>26</v>
      </c>
      <c r="L117" s="41" t="s">
        <v>27</v>
      </c>
      <c r="M117" s="41" t="s">
        <v>28</v>
      </c>
      <c r="N117" s="41" t="s">
        <v>231</v>
      </c>
      <c r="O117" s="41">
        <v>2021</v>
      </c>
      <c r="P117" s="41" t="s">
        <v>232</v>
      </c>
      <c r="Q117" s="41" t="s">
        <v>31</v>
      </c>
      <c r="R117" s="41" t="s">
        <v>32</v>
      </c>
      <c r="S117" s="41" t="s">
        <v>33</v>
      </c>
    </row>
    <row r="118" spans="1:21" x14ac:dyDescent="0.2">
      <c r="A118" s="41" t="s">
        <v>249</v>
      </c>
      <c r="B118" s="41">
        <v>166647</v>
      </c>
      <c r="C118" s="41" t="s">
        <v>20</v>
      </c>
      <c r="D118" s="41" t="s">
        <v>21</v>
      </c>
      <c r="E118" s="41" t="s">
        <v>22</v>
      </c>
      <c r="F118" s="41">
        <v>2022</v>
      </c>
      <c r="G118" s="41">
        <v>61</v>
      </c>
      <c r="H118" s="41" t="s">
        <v>23</v>
      </c>
      <c r="I118" s="41" t="s">
        <v>47</v>
      </c>
      <c r="J118" s="41" t="s">
        <v>47</v>
      </c>
      <c r="K118" s="41" t="s">
        <v>26</v>
      </c>
      <c r="L118" s="41" t="s">
        <v>27</v>
      </c>
      <c r="M118" s="41" t="s">
        <v>28</v>
      </c>
      <c r="N118" s="41" t="s">
        <v>231</v>
      </c>
      <c r="O118" s="41">
        <v>2021</v>
      </c>
      <c r="P118" s="41" t="s">
        <v>232</v>
      </c>
      <c r="Q118" s="41" t="s">
        <v>31</v>
      </c>
      <c r="R118" s="41" t="s">
        <v>32</v>
      </c>
      <c r="S118" s="41" t="s">
        <v>33</v>
      </c>
    </row>
    <row r="119" spans="1:21" x14ac:dyDescent="0.2">
      <c r="A119" s="41" t="s">
        <v>250</v>
      </c>
      <c r="B119" s="41">
        <v>159614</v>
      </c>
      <c r="C119" s="41" t="s">
        <v>20</v>
      </c>
      <c r="D119" s="41" t="s">
        <v>21</v>
      </c>
      <c r="E119" s="41" t="s">
        <v>22</v>
      </c>
      <c r="F119" s="41">
        <v>2019</v>
      </c>
      <c r="G119" s="41">
        <v>61</v>
      </c>
      <c r="H119" s="41" t="s">
        <v>23</v>
      </c>
      <c r="I119" s="41" t="s">
        <v>42</v>
      </c>
      <c r="J119" s="41" t="s">
        <v>42</v>
      </c>
      <c r="K119" s="41" t="s">
        <v>26</v>
      </c>
      <c r="L119" s="41" t="s">
        <v>27</v>
      </c>
      <c r="M119" s="41" t="s">
        <v>28</v>
      </c>
      <c r="N119" s="41" t="s">
        <v>231</v>
      </c>
      <c r="O119" s="41">
        <v>2019</v>
      </c>
      <c r="P119" s="41" t="s">
        <v>232</v>
      </c>
      <c r="Q119" s="41" t="s">
        <v>31</v>
      </c>
      <c r="R119" s="41" t="s">
        <v>32</v>
      </c>
      <c r="S119" s="41" t="s">
        <v>33</v>
      </c>
    </row>
    <row r="120" spans="1:21" x14ac:dyDescent="0.2">
      <c r="A120" s="41" t="s">
        <v>251</v>
      </c>
      <c r="B120" s="41">
        <v>159730</v>
      </c>
      <c r="C120" s="41" t="s">
        <v>20</v>
      </c>
      <c r="D120" s="41" t="s">
        <v>21</v>
      </c>
      <c r="E120" s="41" t="s">
        <v>22</v>
      </c>
      <c r="F120" s="41">
        <v>2019</v>
      </c>
      <c r="G120" s="41">
        <v>59</v>
      </c>
      <c r="H120" s="41" t="s">
        <v>35</v>
      </c>
      <c r="I120" s="41" t="s">
        <v>76</v>
      </c>
      <c r="J120" s="41" t="s">
        <v>42</v>
      </c>
      <c r="K120" s="41" t="s">
        <v>26</v>
      </c>
      <c r="L120" s="41" t="s">
        <v>27</v>
      </c>
      <c r="M120" s="41" t="s">
        <v>28</v>
      </c>
      <c r="N120" s="41" t="s">
        <v>231</v>
      </c>
      <c r="O120" s="41">
        <v>2019</v>
      </c>
      <c r="P120" s="41" t="s">
        <v>232</v>
      </c>
      <c r="Q120" s="41" t="s">
        <v>31</v>
      </c>
      <c r="R120" s="41" t="s">
        <v>32</v>
      </c>
      <c r="S120" s="41" t="s">
        <v>33</v>
      </c>
    </row>
    <row r="121" spans="1:21" x14ac:dyDescent="0.2">
      <c r="A121" s="41" t="s">
        <v>252</v>
      </c>
      <c r="B121" s="41">
        <v>130773</v>
      </c>
      <c r="C121" s="41" t="s">
        <v>20</v>
      </c>
      <c r="D121" s="41" t="s">
        <v>21</v>
      </c>
      <c r="E121" s="41" t="s">
        <v>22</v>
      </c>
      <c r="F121" s="41">
        <v>2012</v>
      </c>
      <c r="G121" s="41">
        <v>56</v>
      </c>
      <c r="H121" s="41" t="s">
        <v>35</v>
      </c>
      <c r="I121" s="41">
        <v>3</v>
      </c>
      <c r="J121" s="41" t="s">
        <v>32</v>
      </c>
      <c r="K121" s="41" t="s">
        <v>26</v>
      </c>
      <c r="L121" s="41" t="s">
        <v>27</v>
      </c>
      <c r="M121" s="41" t="s">
        <v>28</v>
      </c>
      <c r="N121" s="41" t="s">
        <v>231</v>
      </c>
      <c r="O121" s="41">
        <v>2010</v>
      </c>
      <c r="P121" s="41" t="s">
        <v>232</v>
      </c>
      <c r="Q121" s="41" t="s">
        <v>84</v>
      </c>
      <c r="R121" s="41" t="s">
        <v>32</v>
      </c>
      <c r="S121" s="41" t="s">
        <v>33</v>
      </c>
    </row>
    <row r="122" spans="1:21" x14ac:dyDescent="0.2">
      <c r="A122" t="s">
        <v>253</v>
      </c>
      <c r="B122">
        <v>161703</v>
      </c>
      <c r="C122" t="s">
        <v>20</v>
      </c>
      <c r="D122" t="s">
        <v>21</v>
      </c>
      <c r="E122" t="s">
        <v>22</v>
      </c>
      <c r="F122">
        <v>2020</v>
      </c>
      <c r="G122">
        <v>68</v>
      </c>
      <c r="H122" s="41" t="s">
        <v>23</v>
      </c>
      <c r="I122" s="41" t="s">
        <v>25</v>
      </c>
      <c r="J122" t="s">
        <v>25</v>
      </c>
      <c r="K122" s="41" t="s">
        <v>26</v>
      </c>
      <c r="L122" s="41" t="s">
        <v>27</v>
      </c>
      <c r="M122" s="48" t="s">
        <v>28</v>
      </c>
      <c r="N122" s="41" t="s">
        <v>231</v>
      </c>
      <c r="O122">
        <v>2020</v>
      </c>
      <c r="P122" s="41" t="s">
        <v>232</v>
      </c>
      <c r="Q122" s="41"/>
      <c r="R122" s="41" t="s">
        <v>32</v>
      </c>
      <c r="S122" t="s">
        <v>33</v>
      </c>
    </row>
    <row r="123" spans="1:21" x14ac:dyDescent="0.2">
      <c r="A123" t="s">
        <v>254</v>
      </c>
      <c r="B123">
        <v>163251</v>
      </c>
      <c r="C123" t="s">
        <v>20</v>
      </c>
      <c r="D123" t="s">
        <v>41</v>
      </c>
      <c r="E123" t="s">
        <v>22</v>
      </c>
      <c r="F123">
        <v>2021</v>
      </c>
      <c r="G123">
        <v>57</v>
      </c>
      <c r="H123" t="s">
        <v>35</v>
      </c>
      <c r="I123" s="41" t="s">
        <v>25</v>
      </c>
      <c r="J123" s="41" t="s">
        <v>54</v>
      </c>
      <c r="K123" s="41" t="s">
        <v>26</v>
      </c>
      <c r="L123" s="41" t="s">
        <v>27</v>
      </c>
      <c r="M123" s="48" t="s">
        <v>28</v>
      </c>
      <c r="N123" s="41" t="s">
        <v>231</v>
      </c>
      <c r="O123">
        <v>2020</v>
      </c>
      <c r="P123" s="41" t="s">
        <v>232</v>
      </c>
      <c r="Q123" s="41"/>
      <c r="R123" s="41" t="s">
        <v>32</v>
      </c>
      <c r="S123" t="s">
        <v>33</v>
      </c>
    </row>
    <row r="124" spans="1:21" x14ac:dyDescent="0.2">
      <c r="A124" t="s">
        <v>255</v>
      </c>
      <c r="B124">
        <v>163329</v>
      </c>
      <c r="C124" t="s">
        <v>20</v>
      </c>
      <c r="D124" t="s">
        <v>41</v>
      </c>
      <c r="E124" t="s">
        <v>22</v>
      </c>
      <c r="F124">
        <v>2021</v>
      </c>
      <c r="G124">
        <v>56</v>
      </c>
      <c r="H124" t="s">
        <v>35</v>
      </c>
      <c r="I124" s="41" t="s">
        <v>25</v>
      </c>
      <c r="J124" s="41" t="s">
        <v>54</v>
      </c>
      <c r="K124" s="41" t="s">
        <v>26</v>
      </c>
      <c r="L124" s="41" t="s">
        <v>27</v>
      </c>
      <c r="M124" s="48" t="s">
        <v>28</v>
      </c>
      <c r="N124" s="41" t="s">
        <v>231</v>
      </c>
      <c r="O124">
        <v>2021</v>
      </c>
      <c r="P124" s="41" t="s">
        <v>232</v>
      </c>
      <c r="Q124" s="41"/>
      <c r="R124" s="41" t="s">
        <v>32</v>
      </c>
      <c r="S124" t="s">
        <v>33</v>
      </c>
    </row>
    <row r="125" spans="1:21" x14ac:dyDescent="0.2">
      <c r="A125" s="41" t="s">
        <v>256</v>
      </c>
      <c r="B125" s="41">
        <v>162895</v>
      </c>
      <c r="C125" s="41" t="s">
        <v>20</v>
      </c>
      <c r="D125" s="41" t="s">
        <v>257</v>
      </c>
      <c r="E125" s="41" t="s">
        <v>32</v>
      </c>
      <c r="F125" s="41">
        <v>2018</v>
      </c>
      <c r="G125" s="41">
        <v>75</v>
      </c>
      <c r="H125" s="41" t="s">
        <v>46</v>
      </c>
      <c r="I125" s="41">
        <v>2</v>
      </c>
      <c r="J125" s="41" t="s">
        <v>258</v>
      </c>
      <c r="K125" s="41" t="s">
        <v>26</v>
      </c>
      <c r="L125" s="41" t="s">
        <v>259</v>
      </c>
      <c r="M125" s="41" t="s">
        <v>28</v>
      </c>
      <c r="N125" s="41" t="s">
        <v>231</v>
      </c>
      <c r="O125" s="41">
        <v>2013</v>
      </c>
      <c r="P125" s="41" t="s">
        <v>232</v>
      </c>
      <c r="Q125" s="41" t="s">
        <v>260</v>
      </c>
      <c r="R125" s="41" t="s">
        <v>32</v>
      </c>
      <c r="S125" s="41" t="s">
        <v>261</v>
      </c>
    </row>
    <row r="126" spans="1:21" x14ac:dyDescent="0.2">
      <c r="A126" s="41" t="s">
        <v>262</v>
      </c>
      <c r="B126" s="41">
        <v>205246</v>
      </c>
      <c r="C126" s="41" t="s">
        <v>20</v>
      </c>
      <c r="D126" s="41" t="s">
        <v>257</v>
      </c>
      <c r="E126" s="41" t="s">
        <v>32</v>
      </c>
      <c r="F126" s="41">
        <v>2018</v>
      </c>
      <c r="G126" s="41">
        <v>64</v>
      </c>
      <c r="H126" s="41" t="s">
        <v>23</v>
      </c>
      <c r="I126" s="41">
        <v>4</v>
      </c>
      <c r="J126" s="41" t="s">
        <v>263</v>
      </c>
      <c r="K126" s="41" t="s">
        <v>26</v>
      </c>
      <c r="L126" s="41" t="s">
        <v>259</v>
      </c>
      <c r="M126" s="41" t="s">
        <v>28</v>
      </c>
      <c r="N126" s="41" t="s">
        <v>231</v>
      </c>
      <c r="O126" s="41">
        <v>2016</v>
      </c>
      <c r="P126" s="41" t="s">
        <v>232</v>
      </c>
      <c r="Q126" s="41" t="s">
        <v>260</v>
      </c>
      <c r="R126" s="41" t="s">
        <v>32</v>
      </c>
      <c r="S126" s="41" t="s">
        <v>261</v>
      </c>
    </row>
    <row r="127" spans="1:21" x14ac:dyDescent="0.2">
      <c r="A127" s="41" t="s">
        <v>264</v>
      </c>
      <c r="B127" s="41">
        <v>162212</v>
      </c>
      <c r="C127" s="41" t="s">
        <v>20</v>
      </c>
      <c r="D127" s="41" t="s">
        <v>257</v>
      </c>
      <c r="E127" s="41" t="s">
        <v>32</v>
      </c>
      <c r="F127" s="41">
        <v>2019</v>
      </c>
      <c r="G127" s="41">
        <v>58</v>
      </c>
      <c r="H127" s="41" t="s">
        <v>35</v>
      </c>
      <c r="I127" s="41">
        <v>2</v>
      </c>
      <c r="J127" s="41" t="s">
        <v>258</v>
      </c>
      <c r="K127" s="41" t="s">
        <v>26</v>
      </c>
      <c r="L127" s="41" t="s">
        <v>259</v>
      </c>
      <c r="M127" s="41" t="s">
        <v>28</v>
      </c>
      <c r="N127" s="41" t="s">
        <v>231</v>
      </c>
      <c r="O127" s="41">
        <v>2009</v>
      </c>
      <c r="P127" s="41" t="s">
        <v>232</v>
      </c>
      <c r="Q127" s="41" t="s">
        <v>260</v>
      </c>
      <c r="R127" s="41" t="s">
        <v>32</v>
      </c>
      <c r="S127" s="41" t="s">
        <v>261</v>
      </c>
    </row>
    <row r="128" spans="1:21" x14ac:dyDescent="0.2">
      <c r="A128" s="41" t="s">
        <v>265</v>
      </c>
      <c r="B128" s="41">
        <v>162975</v>
      </c>
      <c r="C128" s="41" t="s">
        <v>20</v>
      </c>
      <c r="D128" s="41" t="s">
        <v>257</v>
      </c>
      <c r="E128" s="41" t="s">
        <v>32</v>
      </c>
      <c r="F128" s="41">
        <v>2018</v>
      </c>
      <c r="G128" s="41">
        <v>62</v>
      </c>
      <c r="H128" s="41" t="s">
        <v>23</v>
      </c>
      <c r="I128" s="41">
        <v>2</v>
      </c>
      <c r="J128" s="41" t="s">
        <v>258</v>
      </c>
      <c r="K128" s="41" t="s">
        <v>26</v>
      </c>
      <c r="L128" s="41" t="s">
        <v>259</v>
      </c>
      <c r="M128" s="41" t="s">
        <v>28</v>
      </c>
      <c r="N128" s="41" t="s">
        <v>231</v>
      </c>
      <c r="O128" s="41">
        <v>2016</v>
      </c>
      <c r="P128" s="41" t="s">
        <v>232</v>
      </c>
      <c r="Q128" s="41" t="s">
        <v>260</v>
      </c>
      <c r="R128" s="41" t="s">
        <v>32</v>
      </c>
      <c r="S128" s="41" t="s">
        <v>261</v>
      </c>
    </row>
    <row r="129" spans="1:21" x14ac:dyDescent="0.2">
      <c r="A129" s="41" t="s">
        <v>266</v>
      </c>
      <c r="B129" s="41">
        <v>162982</v>
      </c>
      <c r="C129" s="41" t="s">
        <v>20</v>
      </c>
      <c r="D129" s="41" t="s">
        <v>257</v>
      </c>
      <c r="E129" s="41" t="s">
        <v>32</v>
      </c>
      <c r="F129" s="41">
        <v>2018</v>
      </c>
      <c r="G129" s="41">
        <v>73</v>
      </c>
      <c r="H129" s="41" t="s">
        <v>46</v>
      </c>
      <c r="I129" s="41">
        <v>1</v>
      </c>
      <c r="J129" s="41" t="s">
        <v>267</v>
      </c>
      <c r="K129" s="41" t="s">
        <v>26</v>
      </c>
      <c r="L129" s="41" t="s">
        <v>259</v>
      </c>
      <c r="M129" s="41" t="s">
        <v>28</v>
      </c>
      <c r="N129" s="41" t="s">
        <v>231</v>
      </c>
      <c r="O129" s="41">
        <v>2013</v>
      </c>
      <c r="P129" s="41" t="s">
        <v>232</v>
      </c>
      <c r="Q129" s="41" t="s">
        <v>260</v>
      </c>
      <c r="R129" s="41" t="s">
        <v>32</v>
      </c>
      <c r="S129" s="41" t="s">
        <v>261</v>
      </c>
    </row>
    <row r="130" spans="1:21" x14ac:dyDescent="0.2">
      <c r="A130" s="41" t="s">
        <v>268</v>
      </c>
      <c r="B130" s="41">
        <v>211602</v>
      </c>
      <c r="C130" s="41" t="s">
        <v>20</v>
      </c>
      <c r="D130" s="41" t="s">
        <v>257</v>
      </c>
      <c r="E130" s="41" t="s">
        <v>32</v>
      </c>
      <c r="F130" s="41">
        <v>2018</v>
      </c>
      <c r="G130" s="41">
        <v>73</v>
      </c>
      <c r="H130" s="41" t="s">
        <v>46</v>
      </c>
      <c r="I130" s="41">
        <v>1</v>
      </c>
      <c r="J130" s="41" t="s">
        <v>267</v>
      </c>
      <c r="K130" s="41" t="s">
        <v>26</v>
      </c>
      <c r="L130" s="41" t="s">
        <v>259</v>
      </c>
      <c r="M130" s="41" t="s">
        <v>28</v>
      </c>
      <c r="N130" s="41" t="s">
        <v>231</v>
      </c>
      <c r="O130" s="41">
        <v>2011</v>
      </c>
      <c r="P130" s="41" t="s">
        <v>232</v>
      </c>
      <c r="Q130" s="41" t="s">
        <v>260</v>
      </c>
      <c r="R130" s="41" t="s">
        <v>32</v>
      </c>
      <c r="S130" s="41" t="s">
        <v>261</v>
      </c>
    </row>
    <row r="131" spans="1:21" x14ac:dyDescent="0.2">
      <c r="A131" s="41" t="s">
        <v>269</v>
      </c>
      <c r="B131" s="41">
        <v>211603</v>
      </c>
      <c r="C131" s="41" t="s">
        <v>20</v>
      </c>
      <c r="D131" s="41" t="s">
        <v>257</v>
      </c>
      <c r="E131" s="41" t="s">
        <v>32</v>
      </c>
      <c r="F131" s="41">
        <v>2018</v>
      </c>
      <c r="G131" s="41">
        <v>69</v>
      </c>
      <c r="H131" s="41" t="s">
        <v>23</v>
      </c>
      <c r="I131" s="41">
        <v>3</v>
      </c>
      <c r="J131" s="41" t="s">
        <v>270</v>
      </c>
      <c r="K131" s="41" t="s">
        <v>26</v>
      </c>
      <c r="L131" s="41" t="s">
        <v>259</v>
      </c>
      <c r="M131" s="41" t="s">
        <v>28</v>
      </c>
      <c r="N131" s="41" t="s">
        <v>231</v>
      </c>
      <c r="O131" s="41">
        <v>2013</v>
      </c>
      <c r="P131" s="41" t="s">
        <v>232</v>
      </c>
      <c r="Q131" s="41" t="s">
        <v>260</v>
      </c>
      <c r="R131" s="41" t="s">
        <v>32</v>
      </c>
      <c r="S131" s="41" t="s">
        <v>261</v>
      </c>
    </row>
    <row r="132" spans="1:21" x14ac:dyDescent="0.2">
      <c r="A132" s="41" t="s">
        <v>271</v>
      </c>
      <c r="B132" s="41">
        <v>211641</v>
      </c>
      <c r="C132" s="41" t="s">
        <v>20</v>
      </c>
      <c r="D132" s="41" t="s">
        <v>257</v>
      </c>
      <c r="E132" s="41" t="s">
        <v>32</v>
      </c>
      <c r="F132" s="41">
        <v>2018</v>
      </c>
      <c r="G132" s="41">
        <v>62</v>
      </c>
      <c r="H132" s="41" t="s">
        <v>23</v>
      </c>
      <c r="I132" s="41">
        <v>2</v>
      </c>
      <c r="J132" s="41" t="s">
        <v>258</v>
      </c>
      <c r="K132" s="41" t="s">
        <v>26</v>
      </c>
      <c r="L132" s="41" t="s">
        <v>259</v>
      </c>
      <c r="M132" s="41" t="s">
        <v>28</v>
      </c>
      <c r="N132" s="41" t="s">
        <v>231</v>
      </c>
      <c r="O132" s="41">
        <v>2015</v>
      </c>
      <c r="P132" s="41" t="s">
        <v>232</v>
      </c>
      <c r="Q132" s="41" t="s">
        <v>260</v>
      </c>
      <c r="R132" s="41" t="s">
        <v>32</v>
      </c>
      <c r="S132" s="41" t="s">
        <v>261</v>
      </c>
    </row>
    <row r="133" spans="1:21" x14ac:dyDescent="0.2">
      <c r="A133" s="41" t="s">
        <v>272</v>
      </c>
      <c r="B133" s="41">
        <v>211724</v>
      </c>
      <c r="C133" s="41" t="s">
        <v>20</v>
      </c>
      <c r="D133" s="41" t="s">
        <v>257</v>
      </c>
      <c r="E133" s="41" t="s">
        <v>32</v>
      </c>
      <c r="F133" s="41">
        <v>2018</v>
      </c>
      <c r="G133" s="41">
        <v>62</v>
      </c>
      <c r="H133" s="41" t="s">
        <v>23</v>
      </c>
      <c r="I133" s="41">
        <v>2</v>
      </c>
      <c r="J133" s="41" t="s">
        <v>258</v>
      </c>
      <c r="K133" s="41" t="s">
        <v>26</v>
      </c>
      <c r="L133" s="41" t="s">
        <v>259</v>
      </c>
      <c r="M133" s="41" t="s">
        <v>28</v>
      </c>
      <c r="N133" s="41" t="s">
        <v>231</v>
      </c>
      <c r="O133" s="41">
        <v>2016</v>
      </c>
      <c r="P133" s="41" t="s">
        <v>232</v>
      </c>
      <c r="Q133" s="41" t="s">
        <v>260</v>
      </c>
      <c r="R133" s="41" t="s">
        <v>32</v>
      </c>
      <c r="S133" s="41" t="s">
        <v>261</v>
      </c>
    </row>
    <row r="134" spans="1:21" x14ac:dyDescent="0.2">
      <c r="A134" s="41" t="s">
        <v>273</v>
      </c>
      <c r="B134" s="41">
        <v>211540</v>
      </c>
      <c r="C134" s="41" t="s">
        <v>20</v>
      </c>
      <c r="D134" s="41" t="s">
        <v>257</v>
      </c>
      <c r="E134" s="41" t="s">
        <v>32</v>
      </c>
      <c r="F134" s="41">
        <v>2018</v>
      </c>
      <c r="G134" s="41">
        <v>66</v>
      </c>
      <c r="H134" s="41" t="s">
        <v>23</v>
      </c>
      <c r="I134" s="41">
        <v>1</v>
      </c>
      <c r="J134" s="41" t="s">
        <v>267</v>
      </c>
      <c r="K134" s="41" t="s">
        <v>26</v>
      </c>
      <c r="L134" s="41" t="s">
        <v>259</v>
      </c>
      <c r="M134" s="41" t="s">
        <v>28</v>
      </c>
      <c r="N134" s="41" t="s">
        <v>231</v>
      </c>
      <c r="O134" s="41">
        <v>2013</v>
      </c>
      <c r="P134" s="41" t="s">
        <v>232</v>
      </c>
      <c r="Q134" s="41" t="s">
        <v>260</v>
      </c>
      <c r="R134" s="41" t="s">
        <v>32</v>
      </c>
      <c r="S134" s="41" t="s">
        <v>261</v>
      </c>
    </row>
    <row r="135" spans="1:21" x14ac:dyDescent="0.2">
      <c r="A135" s="41" t="s">
        <v>274</v>
      </c>
      <c r="B135" s="41">
        <v>212191</v>
      </c>
      <c r="C135" s="41" t="s">
        <v>20</v>
      </c>
      <c r="D135" s="41" t="s">
        <v>257</v>
      </c>
      <c r="E135" s="41" t="s">
        <v>32</v>
      </c>
      <c r="F135" s="41">
        <v>2018</v>
      </c>
      <c r="G135" s="41">
        <v>63</v>
      </c>
      <c r="H135" s="41" t="s">
        <v>23</v>
      </c>
      <c r="I135" s="41">
        <v>2</v>
      </c>
      <c r="J135" s="41" t="s">
        <v>258</v>
      </c>
      <c r="K135" s="41" t="s">
        <v>26</v>
      </c>
      <c r="L135" s="41" t="s">
        <v>259</v>
      </c>
      <c r="M135" s="41" t="s">
        <v>28</v>
      </c>
      <c r="N135" s="41" t="s">
        <v>231</v>
      </c>
      <c r="O135" s="41">
        <v>2008</v>
      </c>
      <c r="P135" s="41" t="s">
        <v>232</v>
      </c>
      <c r="Q135" s="41" t="s">
        <v>260</v>
      </c>
      <c r="R135" s="41" t="s">
        <v>32</v>
      </c>
      <c r="S135" s="41" t="s">
        <v>261</v>
      </c>
    </row>
    <row r="136" spans="1:21" x14ac:dyDescent="0.2">
      <c r="A136" s="41" t="s">
        <v>275</v>
      </c>
      <c r="B136" s="41">
        <v>212319</v>
      </c>
      <c r="C136" s="41" t="s">
        <v>20</v>
      </c>
      <c r="D136" s="41" t="s">
        <v>257</v>
      </c>
      <c r="E136" s="41" t="s">
        <v>32</v>
      </c>
      <c r="F136" s="41">
        <v>2018</v>
      </c>
      <c r="G136" s="41">
        <v>78</v>
      </c>
      <c r="H136" s="41" t="s">
        <v>46</v>
      </c>
      <c r="I136" s="41">
        <v>3</v>
      </c>
      <c r="J136" s="41" t="s">
        <v>270</v>
      </c>
      <c r="K136" s="41" t="s">
        <v>26</v>
      </c>
      <c r="L136" s="41" t="s">
        <v>259</v>
      </c>
      <c r="M136" s="41" t="s">
        <v>28</v>
      </c>
      <c r="N136" s="41" t="s">
        <v>231</v>
      </c>
      <c r="O136" s="41">
        <v>2015</v>
      </c>
      <c r="P136" s="41" t="s">
        <v>232</v>
      </c>
      <c r="Q136" s="41" t="s">
        <v>260</v>
      </c>
      <c r="R136" s="41" t="s">
        <v>32</v>
      </c>
      <c r="S136" s="41" t="s">
        <v>261</v>
      </c>
    </row>
    <row r="137" spans="1:21" x14ac:dyDescent="0.2">
      <c r="A137" s="41" t="s">
        <v>276</v>
      </c>
      <c r="B137" s="41">
        <v>212830</v>
      </c>
      <c r="C137" s="41" t="s">
        <v>20</v>
      </c>
      <c r="D137" s="41" t="s">
        <v>257</v>
      </c>
      <c r="E137" s="41" t="s">
        <v>32</v>
      </c>
      <c r="F137" s="41">
        <v>2019</v>
      </c>
      <c r="G137" s="41">
        <v>53</v>
      </c>
      <c r="H137" s="41" t="s">
        <v>35</v>
      </c>
      <c r="I137" s="41">
        <v>3</v>
      </c>
      <c r="J137" s="41" t="s">
        <v>270</v>
      </c>
      <c r="K137" s="41" t="s">
        <v>26</v>
      </c>
      <c r="L137" s="41" t="s">
        <v>259</v>
      </c>
      <c r="M137" s="41" t="s">
        <v>28</v>
      </c>
      <c r="N137" s="41" t="s">
        <v>231</v>
      </c>
      <c r="O137" s="41">
        <v>2016</v>
      </c>
      <c r="P137" s="41" t="s">
        <v>232</v>
      </c>
      <c r="Q137" s="41" t="s">
        <v>260</v>
      </c>
      <c r="R137" s="41" t="s">
        <v>32</v>
      </c>
      <c r="S137" s="41" t="s">
        <v>261</v>
      </c>
    </row>
    <row r="138" spans="1:21" x14ac:dyDescent="0.2">
      <c r="A138" s="41" t="s">
        <v>277</v>
      </c>
      <c r="B138" s="41">
        <v>213872</v>
      </c>
      <c r="C138" s="41" t="s">
        <v>20</v>
      </c>
      <c r="D138" s="41" t="s">
        <v>257</v>
      </c>
      <c r="E138" s="41" t="s">
        <v>32</v>
      </c>
      <c r="F138" s="41">
        <v>2019</v>
      </c>
      <c r="G138" s="41">
        <v>65</v>
      </c>
      <c r="H138" s="41" t="s">
        <v>23</v>
      </c>
      <c r="I138" s="41">
        <v>2</v>
      </c>
      <c r="J138" s="41" t="s">
        <v>258</v>
      </c>
      <c r="K138" s="41" t="s">
        <v>26</v>
      </c>
      <c r="L138" s="41" t="s">
        <v>259</v>
      </c>
      <c r="M138" s="41" t="s">
        <v>28</v>
      </c>
      <c r="N138" s="41" t="s">
        <v>231</v>
      </c>
      <c r="O138" s="41">
        <v>2016</v>
      </c>
      <c r="P138" s="41" t="s">
        <v>232</v>
      </c>
      <c r="Q138" s="41" t="s">
        <v>260</v>
      </c>
      <c r="R138" s="41" t="s">
        <v>32</v>
      </c>
      <c r="S138" s="41" t="s">
        <v>261</v>
      </c>
    </row>
    <row r="139" spans="1:21" x14ac:dyDescent="0.2">
      <c r="A139" s="41" t="s">
        <v>278</v>
      </c>
      <c r="B139" s="41">
        <v>217010</v>
      </c>
      <c r="C139" s="41" t="s">
        <v>20</v>
      </c>
      <c r="D139" s="41" t="s">
        <v>257</v>
      </c>
      <c r="E139" s="41" t="s">
        <v>32</v>
      </c>
      <c r="F139" s="41">
        <v>2019</v>
      </c>
      <c r="G139" s="41">
        <v>54</v>
      </c>
      <c r="H139" s="41" t="s">
        <v>35</v>
      </c>
      <c r="I139" s="41">
        <v>2</v>
      </c>
      <c r="J139" s="41" t="s">
        <v>258</v>
      </c>
      <c r="K139" s="41" t="s">
        <v>26</v>
      </c>
      <c r="L139" s="41" t="s">
        <v>259</v>
      </c>
      <c r="M139" s="41" t="s">
        <v>28</v>
      </c>
      <c r="N139" s="41" t="s">
        <v>231</v>
      </c>
      <c r="O139" s="41">
        <v>2016</v>
      </c>
      <c r="P139" s="41" t="s">
        <v>232</v>
      </c>
      <c r="Q139" s="41" t="s">
        <v>260</v>
      </c>
      <c r="R139" s="41" t="s">
        <v>32</v>
      </c>
      <c r="S139" s="41" t="s">
        <v>261</v>
      </c>
    </row>
    <row r="140" spans="1:21" x14ac:dyDescent="0.2">
      <c r="A140" s="41" t="s">
        <v>279</v>
      </c>
      <c r="B140" s="41">
        <v>218594</v>
      </c>
      <c r="C140" s="41" t="s">
        <v>20</v>
      </c>
      <c r="D140" s="41" t="s">
        <v>257</v>
      </c>
      <c r="E140" s="41" t="s">
        <v>32</v>
      </c>
      <c r="F140" s="41">
        <v>2019</v>
      </c>
      <c r="G140" s="41">
        <v>66</v>
      </c>
      <c r="H140" s="41" t="s">
        <v>23</v>
      </c>
      <c r="I140" s="41">
        <v>1</v>
      </c>
      <c r="J140" s="41" t="s">
        <v>280</v>
      </c>
      <c r="K140" s="41" t="s">
        <v>26</v>
      </c>
      <c r="L140" s="41" t="s">
        <v>259</v>
      </c>
      <c r="M140" s="41" t="s">
        <v>28</v>
      </c>
      <c r="N140" s="41" t="s">
        <v>231</v>
      </c>
      <c r="O140" s="41">
        <v>2009</v>
      </c>
      <c r="P140" s="41" t="s">
        <v>232</v>
      </c>
      <c r="Q140" s="41" t="s">
        <v>260</v>
      </c>
      <c r="R140" s="41" t="s">
        <v>32</v>
      </c>
      <c r="S140" s="41" t="s">
        <v>261</v>
      </c>
    </row>
    <row r="141" spans="1:21" s="100" customFormat="1" x14ac:dyDescent="0.2">
      <c r="A141" s="100" t="s">
        <v>281</v>
      </c>
      <c r="B141" s="100">
        <v>219687</v>
      </c>
      <c r="C141" s="100" t="s">
        <v>20</v>
      </c>
      <c r="D141" s="100" t="s">
        <v>257</v>
      </c>
      <c r="E141" s="100" t="s">
        <v>32</v>
      </c>
      <c r="F141" s="100">
        <v>2019</v>
      </c>
      <c r="G141" s="100">
        <v>71</v>
      </c>
      <c r="H141" s="100" t="s">
        <v>46</v>
      </c>
      <c r="I141" s="100">
        <v>3</v>
      </c>
      <c r="J141" s="100" t="s">
        <v>270</v>
      </c>
      <c r="K141" s="100" t="s">
        <v>26</v>
      </c>
      <c r="L141" s="100" t="s">
        <v>259</v>
      </c>
      <c r="M141" s="100" t="s">
        <v>28</v>
      </c>
      <c r="N141" s="100" t="s">
        <v>231</v>
      </c>
      <c r="O141" s="100">
        <v>2018</v>
      </c>
      <c r="P141" s="100" t="s">
        <v>232</v>
      </c>
      <c r="Q141" s="100" t="s">
        <v>260</v>
      </c>
      <c r="R141" s="100" t="s">
        <v>32</v>
      </c>
      <c r="S141" s="100" t="s">
        <v>261</v>
      </c>
      <c r="U141" s="100" t="s">
        <v>247</v>
      </c>
    </row>
    <row r="142" spans="1:21" x14ac:dyDescent="0.2">
      <c r="A142" s="41" t="s">
        <v>282</v>
      </c>
      <c r="B142" s="41">
        <v>219763</v>
      </c>
      <c r="C142" s="41" t="s">
        <v>20</v>
      </c>
      <c r="D142" s="41" t="s">
        <v>257</v>
      </c>
      <c r="E142" s="41" t="s">
        <v>32</v>
      </c>
      <c r="F142" s="41">
        <v>2019</v>
      </c>
      <c r="G142" s="41">
        <v>76</v>
      </c>
      <c r="H142" s="41" t="s">
        <v>46</v>
      </c>
      <c r="I142" s="41">
        <v>2</v>
      </c>
      <c r="J142" s="41" t="s">
        <v>258</v>
      </c>
      <c r="K142" s="41" t="s">
        <v>26</v>
      </c>
      <c r="L142" s="41" t="s">
        <v>259</v>
      </c>
      <c r="M142" s="41" t="s">
        <v>28</v>
      </c>
      <c r="N142" s="41" t="s">
        <v>231</v>
      </c>
      <c r="O142" s="41">
        <v>2018</v>
      </c>
      <c r="P142" s="41" t="s">
        <v>232</v>
      </c>
      <c r="Q142" s="41" t="s">
        <v>260</v>
      </c>
      <c r="R142" s="41" t="s">
        <v>32</v>
      </c>
      <c r="S142" s="41" t="s">
        <v>261</v>
      </c>
    </row>
    <row r="143" spans="1:21" x14ac:dyDescent="0.2">
      <c r="A143" s="41" t="s">
        <v>283</v>
      </c>
      <c r="B143" s="41">
        <v>219819</v>
      </c>
      <c r="C143" s="41" t="s">
        <v>20</v>
      </c>
      <c r="D143" s="41" t="s">
        <v>257</v>
      </c>
      <c r="E143" s="41" t="s">
        <v>32</v>
      </c>
      <c r="F143" s="41">
        <v>2019</v>
      </c>
      <c r="G143" s="41">
        <v>67</v>
      </c>
      <c r="H143" s="41" t="s">
        <v>23</v>
      </c>
      <c r="I143" s="41">
        <v>2</v>
      </c>
      <c r="J143" s="41" t="s">
        <v>258</v>
      </c>
      <c r="K143" s="41" t="s">
        <v>26</v>
      </c>
      <c r="L143" s="41" t="s">
        <v>259</v>
      </c>
      <c r="M143" s="41" t="s">
        <v>28</v>
      </c>
      <c r="N143" s="41" t="s">
        <v>231</v>
      </c>
      <c r="O143" s="41">
        <v>2014</v>
      </c>
      <c r="P143" s="41" t="s">
        <v>232</v>
      </c>
      <c r="Q143" s="41" t="s">
        <v>260</v>
      </c>
      <c r="R143" s="41" t="s">
        <v>32</v>
      </c>
      <c r="S143" s="41" t="s">
        <v>261</v>
      </c>
    </row>
    <row r="144" spans="1:21" x14ac:dyDescent="0.2">
      <c r="A144" s="41" t="s">
        <v>284</v>
      </c>
      <c r="B144" s="41">
        <v>221853</v>
      </c>
      <c r="C144" s="41" t="s">
        <v>20</v>
      </c>
      <c r="D144" s="41" t="s">
        <v>257</v>
      </c>
      <c r="E144" s="41" t="s">
        <v>32</v>
      </c>
      <c r="F144" s="41">
        <v>2020</v>
      </c>
      <c r="G144" s="41">
        <v>70</v>
      </c>
      <c r="H144" s="41" t="s">
        <v>46</v>
      </c>
      <c r="I144" s="41">
        <v>2</v>
      </c>
      <c r="J144" s="41" t="s">
        <v>258</v>
      </c>
      <c r="K144" s="41" t="s">
        <v>26</v>
      </c>
      <c r="L144" s="41" t="s">
        <v>259</v>
      </c>
      <c r="M144" s="41" t="s">
        <v>28</v>
      </c>
      <c r="N144" s="41" t="s">
        <v>231</v>
      </c>
      <c r="O144" s="41">
        <v>2013</v>
      </c>
      <c r="P144" s="41" t="s">
        <v>232</v>
      </c>
      <c r="Q144" s="41" t="s">
        <v>260</v>
      </c>
      <c r="R144" s="41" t="s">
        <v>32</v>
      </c>
      <c r="S144" s="41" t="s">
        <v>261</v>
      </c>
    </row>
    <row r="145" spans="1:22" x14ac:dyDescent="0.2">
      <c r="A145" s="41" t="s">
        <v>285</v>
      </c>
      <c r="B145" s="41">
        <v>224099</v>
      </c>
      <c r="C145" s="41" t="s">
        <v>20</v>
      </c>
      <c r="D145" s="41" t="s">
        <v>257</v>
      </c>
      <c r="E145" s="41" t="s">
        <v>32</v>
      </c>
      <c r="F145" s="41">
        <v>2020</v>
      </c>
      <c r="G145" s="41">
        <v>57</v>
      </c>
      <c r="H145" s="41" t="s">
        <v>35</v>
      </c>
      <c r="I145" s="41">
        <v>3</v>
      </c>
      <c r="J145" s="41" t="s">
        <v>270</v>
      </c>
      <c r="K145" s="41" t="s">
        <v>26</v>
      </c>
      <c r="L145" s="41" t="s">
        <v>259</v>
      </c>
      <c r="M145" s="41" t="s">
        <v>28</v>
      </c>
      <c r="N145" s="41" t="s">
        <v>231</v>
      </c>
      <c r="O145" s="41">
        <v>2017</v>
      </c>
      <c r="P145" s="41" t="s">
        <v>232</v>
      </c>
      <c r="Q145" s="41" t="s">
        <v>260</v>
      </c>
      <c r="R145" s="41" t="s">
        <v>32</v>
      </c>
      <c r="S145" s="41" t="s">
        <v>261</v>
      </c>
    </row>
    <row r="146" spans="1:22" x14ac:dyDescent="0.2">
      <c r="A146" s="41" t="s">
        <v>286</v>
      </c>
      <c r="B146" s="41">
        <v>217084</v>
      </c>
      <c r="C146" s="41" t="s">
        <v>20</v>
      </c>
      <c r="D146" s="41" t="s">
        <v>21</v>
      </c>
      <c r="E146" s="41" t="s">
        <v>32</v>
      </c>
      <c r="F146" s="41">
        <v>2019</v>
      </c>
      <c r="G146" s="41">
        <v>69</v>
      </c>
      <c r="H146" s="41" t="s">
        <v>23</v>
      </c>
      <c r="I146" s="41">
        <v>1</v>
      </c>
      <c r="J146" s="41" t="s">
        <v>280</v>
      </c>
      <c r="K146" s="41" t="s">
        <v>26</v>
      </c>
      <c r="L146" s="41" t="s">
        <v>259</v>
      </c>
      <c r="M146" s="41" t="s">
        <v>28</v>
      </c>
      <c r="N146" s="41" t="s">
        <v>231</v>
      </c>
      <c r="O146" s="41">
        <v>2014</v>
      </c>
      <c r="P146" s="41" t="s">
        <v>232</v>
      </c>
      <c r="Q146" s="41"/>
      <c r="R146" s="41" t="s">
        <v>32</v>
      </c>
      <c r="S146" s="41" t="s">
        <v>261</v>
      </c>
    </row>
    <row r="147" spans="1:22" x14ac:dyDescent="0.2">
      <c r="A147" s="41" t="s">
        <v>287</v>
      </c>
      <c r="B147" s="41">
        <v>217220</v>
      </c>
      <c r="C147" s="41" t="s">
        <v>20</v>
      </c>
      <c r="D147" s="41" t="s">
        <v>21</v>
      </c>
      <c r="E147" s="41" t="s">
        <v>32</v>
      </c>
      <c r="F147" s="41">
        <v>2019</v>
      </c>
      <c r="G147" s="41">
        <v>75</v>
      </c>
      <c r="H147" s="41" t="s">
        <v>46</v>
      </c>
      <c r="I147" s="41">
        <v>3</v>
      </c>
      <c r="J147" s="41" t="s">
        <v>270</v>
      </c>
      <c r="K147" s="41" t="s">
        <v>26</v>
      </c>
      <c r="L147" s="41" t="s">
        <v>259</v>
      </c>
      <c r="M147" s="41" t="s">
        <v>28</v>
      </c>
      <c r="N147" s="41" t="s">
        <v>231</v>
      </c>
      <c r="O147" s="41">
        <v>2018</v>
      </c>
      <c r="P147" s="41" t="s">
        <v>232</v>
      </c>
      <c r="Q147" s="41"/>
      <c r="R147" s="41" t="s">
        <v>32</v>
      </c>
      <c r="S147" s="41" t="s">
        <v>261</v>
      </c>
    </row>
    <row r="148" spans="1:22" x14ac:dyDescent="0.2">
      <c r="A148" s="41" t="s">
        <v>288</v>
      </c>
      <c r="B148" s="41">
        <v>217473</v>
      </c>
      <c r="C148" s="41" t="s">
        <v>20</v>
      </c>
      <c r="D148" s="41" t="s">
        <v>21</v>
      </c>
      <c r="E148" s="41" t="s">
        <v>32</v>
      </c>
      <c r="F148" s="41">
        <v>2019</v>
      </c>
      <c r="G148" s="41">
        <v>57</v>
      </c>
      <c r="H148" s="41" t="s">
        <v>35</v>
      </c>
      <c r="I148" s="41">
        <v>2</v>
      </c>
      <c r="J148" s="41" t="s">
        <v>258</v>
      </c>
      <c r="K148" s="41" t="s">
        <v>26</v>
      </c>
      <c r="L148" s="41" t="s">
        <v>259</v>
      </c>
      <c r="M148" s="41" t="s">
        <v>28</v>
      </c>
      <c r="N148" s="41" t="s">
        <v>231</v>
      </c>
      <c r="O148" s="41">
        <v>2018</v>
      </c>
      <c r="P148" s="41" t="s">
        <v>232</v>
      </c>
      <c r="Q148" s="41"/>
      <c r="R148" s="41" t="s">
        <v>32</v>
      </c>
      <c r="S148" s="41" t="s">
        <v>261</v>
      </c>
    </row>
    <row r="149" spans="1:22" x14ac:dyDescent="0.2">
      <c r="A149" s="41" t="s">
        <v>289</v>
      </c>
      <c r="B149" s="41">
        <v>218156</v>
      </c>
      <c r="C149" s="41" t="s">
        <v>20</v>
      </c>
      <c r="D149" s="41" t="s">
        <v>21</v>
      </c>
      <c r="E149" s="41" t="s">
        <v>32</v>
      </c>
      <c r="F149" s="41">
        <v>2019</v>
      </c>
      <c r="G149" s="41">
        <v>66</v>
      </c>
      <c r="H149" s="41" t="s">
        <v>23</v>
      </c>
      <c r="I149" s="41">
        <v>1</v>
      </c>
      <c r="J149" s="41" t="s">
        <v>267</v>
      </c>
      <c r="K149" s="41" t="s">
        <v>26</v>
      </c>
      <c r="L149" s="41" t="s">
        <v>259</v>
      </c>
      <c r="M149" s="41" t="s">
        <v>28</v>
      </c>
      <c r="N149" s="41" t="s">
        <v>231</v>
      </c>
      <c r="O149" s="41">
        <v>2016</v>
      </c>
      <c r="P149" s="41" t="s">
        <v>232</v>
      </c>
      <c r="Q149" s="41"/>
      <c r="R149" s="41" t="s">
        <v>32</v>
      </c>
      <c r="S149" s="41" t="s">
        <v>261</v>
      </c>
    </row>
    <row r="150" spans="1:22" x14ac:dyDescent="0.2">
      <c r="A150" s="41" t="s">
        <v>290</v>
      </c>
      <c r="B150" s="41" t="s">
        <v>291</v>
      </c>
      <c r="C150" s="41" t="s">
        <v>20</v>
      </c>
      <c r="D150" s="41" t="s">
        <v>21</v>
      </c>
      <c r="E150" s="41" t="s">
        <v>32</v>
      </c>
      <c r="F150" s="41" t="s">
        <v>32</v>
      </c>
      <c r="G150" s="41">
        <v>58</v>
      </c>
      <c r="H150" s="41" t="s">
        <v>35</v>
      </c>
      <c r="I150" s="41">
        <v>3</v>
      </c>
      <c r="J150" s="41" t="s">
        <v>263</v>
      </c>
      <c r="K150" s="41" t="s">
        <v>26</v>
      </c>
      <c r="L150" s="41" t="s">
        <v>259</v>
      </c>
      <c r="M150" s="41" t="s">
        <v>28</v>
      </c>
      <c r="N150" s="41" t="s">
        <v>231</v>
      </c>
      <c r="O150" s="41" t="s">
        <v>32</v>
      </c>
      <c r="P150" s="41" t="s">
        <v>292</v>
      </c>
      <c r="Q150" s="41"/>
      <c r="R150" s="41" t="s">
        <v>32</v>
      </c>
      <c r="S150" s="41" t="s">
        <v>293</v>
      </c>
    </row>
    <row r="151" spans="1:22" x14ac:dyDescent="0.2">
      <c r="A151" t="s">
        <v>294</v>
      </c>
      <c r="B151">
        <v>122051</v>
      </c>
      <c r="C151" s="41" t="s">
        <v>51</v>
      </c>
      <c r="D151" s="41" t="s">
        <v>21</v>
      </c>
      <c r="E151" s="96" t="s">
        <v>22</v>
      </c>
      <c r="F151" s="41">
        <v>2010</v>
      </c>
      <c r="G151" s="41">
        <v>65</v>
      </c>
      <c r="H151" s="41" t="s">
        <v>23</v>
      </c>
      <c r="I151" s="41">
        <v>4</v>
      </c>
      <c r="J151" s="41" t="s">
        <v>32</v>
      </c>
      <c r="K151" s="41" t="s">
        <v>26</v>
      </c>
      <c r="L151" s="41" t="s">
        <v>27</v>
      </c>
      <c r="M151" s="97" t="s">
        <v>295</v>
      </c>
      <c r="N151" s="41" t="s">
        <v>296</v>
      </c>
      <c r="O151" s="41">
        <v>2009</v>
      </c>
      <c r="P151" s="41" t="s">
        <v>297</v>
      </c>
      <c r="Q151" s="41"/>
      <c r="R151" s="41" t="s">
        <v>32</v>
      </c>
      <c r="S151" s="41" t="s">
        <v>33</v>
      </c>
    </row>
    <row r="152" spans="1:22" x14ac:dyDescent="0.2">
      <c r="A152" t="s">
        <v>298</v>
      </c>
      <c r="B152">
        <v>123534</v>
      </c>
      <c r="C152" s="41" t="s">
        <v>51</v>
      </c>
      <c r="D152" s="41" t="s">
        <v>21</v>
      </c>
      <c r="E152" s="96" t="s">
        <v>22</v>
      </c>
      <c r="F152" s="41">
        <v>2010</v>
      </c>
      <c r="G152" s="41">
        <v>66</v>
      </c>
      <c r="H152" s="41" t="s">
        <v>23</v>
      </c>
      <c r="I152" t="s">
        <v>47</v>
      </c>
      <c r="J152" s="41" t="s">
        <v>32</v>
      </c>
      <c r="K152" s="41" t="s">
        <v>26</v>
      </c>
      <c r="L152" s="41" t="s">
        <v>27</v>
      </c>
      <c r="M152" s="98" t="s">
        <v>295</v>
      </c>
      <c r="N152" s="41" t="s">
        <v>296</v>
      </c>
      <c r="O152" s="41">
        <v>2010</v>
      </c>
      <c r="P152" s="41" t="s">
        <v>297</v>
      </c>
      <c r="Q152" s="41"/>
      <c r="R152" s="41" t="s">
        <v>32</v>
      </c>
      <c r="S152" s="41" t="s">
        <v>33</v>
      </c>
    </row>
    <row r="153" spans="1:22" x14ac:dyDescent="0.2">
      <c r="A153" t="s">
        <v>299</v>
      </c>
      <c r="B153">
        <v>124533</v>
      </c>
      <c r="C153" s="41" t="s">
        <v>51</v>
      </c>
      <c r="D153" s="41" t="s">
        <v>21</v>
      </c>
      <c r="E153" s="96" t="s">
        <v>22</v>
      </c>
      <c r="F153" s="41">
        <v>2010</v>
      </c>
      <c r="G153" s="41">
        <v>56</v>
      </c>
      <c r="H153" s="41" t="s">
        <v>35</v>
      </c>
      <c r="I153" t="s">
        <v>123</v>
      </c>
      <c r="J153" s="41" t="s">
        <v>32</v>
      </c>
      <c r="K153" s="41" t="s">
        <v>26</v>
      </c>
      <c r="L153" s="41" t="s">
        <v>27</v>
      </c>
      <c r="M153" s="98" t="s">
        <v>300</v>
      </c>
      <c r="N153" s="41" t="s">
        <v>296</v>
      </c>
      <c r="O153" s="41">
        <v>2010</v>
      </c>
      <c r="P153" s="41" t="s">
        <v>297</v>
      </c>
      <c r="Q153" s="41"/>
      <c r="R153" s="41" t="s">
        <v>32</v>
      </c>
      <c r="S153" s="41" t="s">
        <v>33</v>
      </c>
    </row>
    <row r="154" spans="1:22" x14ac:dyDescent="0.2">
      <c r="A154" t="s">
        <v>301</v>
      </c>
      <c r="B154">
        <v>126057</v>
      </c>
      <c r="C154" s="41" t="s">
        <v>51</v>
      </c>
      <c r="D154" s="41" t="s">
        <v>21</v>
      </c>
      <c r="E154" s="96" t="s">
        <v>22</v>
      </c>
      <c r="F154" s="41">
        <v>2011</v>
      </c>
      <c r="G154" s="41">
        <v>71</v>
      </c>
      <c r="H154" s="41" t="s">
        <v>46</v>
      </c>
      <c r="I154" t="s">
        <v>224</v>
      </c>
      <c r="J154" s="41" t="s">
        <v>32</v>
      </c>
      <c r="K154" s="41" t="s">
        <v>26</v>
      </c>
      <c r="L154" s="41" t="s">
        <v>27</v>
      </c>
      <c r="M154" s="98" t="s">
        <v>300</v>
      </c>
      <c r="N154" s="41" t="s">
        <v>296</v>
      </c>
      <c r="O154" s="41">
        <v>2011</v>
      </c>
      <c r="P154" s="41" t="s">
        <v>297</v>
      </c>
      <c r="Q154" s="41"/>
      <c r="R154" s="41" t="s">
        <v>32</v>
      </c>
      <c r="S154" s="41" t="s">
        <v>33</v>
      </c>
    </row>
    <row r="155" spans="1:22" x14ac:dyDescent="0.2">
      <c r="A155" t="s">
        <v>302</v>
      </c>
      <c r="B155">
        <v>128426</v>
      </c>
      <c r="C155" s="41" t="s">
        <v>51</v>
      </c>
      <c r="D155" s="41" t="s">
        <v>41</v>
      </c>
      <c r="E155" s="96" t="s">
        <v>22</v>
      </c>
      <c r="F155" s="41">
        <v>2011</v>
      </c>
      <c r="G155" s="41">
        <v>36</v>
      </c>
      <c r="H155" s="41" t="s">
        <v>44</v>
      </c>
      <c r="I155" s="41" t="s">
        <v>38</v>
      </c>
      <c r="J155" s="41" t="s">
        <v>32</v>
      </c>
      <c r="K155" s="41" t="s">
        <v>26</v>
      </c>
      <c r="L155" s="41" t="s">
        <v>27</v>
      </c>
      <c r="M155" s="98" t="s">
        <v>295</v>
      </c>
      <c r="N155" s="41" t="s">
        <v>296</v>
      </c>
      <c r="O155" s="41">
        <v>2011</v>
      </c>
      <c r="P155" s="41" t="s">
        <v>297</v>
      </c>
      <c r="Q155" s="41"/>
      <c r="R155" s="41" t="s">
        <v>32</v>
      </c>
      <c r="S155" s="41" t="s">
        <v>33</v>
      </c>
    </row>
    <row r="156" spans="1:22" s="104" customFormat="1" x14ac:dyDescent="0.2">
      <c r="A156" s="104" t="s">
        <v>303</v>
      </c>
      <c r="B156" s="104">
        <v>121299</v>
      </c>
      <c r="C156" s="104" t="s">
        <v>51</v>
      </c>
      <c r="M156" s="105" t="s">
        <v>304</v>
      </c>
      <c r="N156" s="104" t="s">
        <v>296</v>
      </c>
      <c r="P156" s="104" t="s">
        <v>297</v>
      </c>
      <c r="S156" s="104" t="s">
        <v>33</v>
      </c>
      <c r="V156" s="104" t="s">
        <v>305</v>
      </c>
    </row>
    <row r="157" spans="1:22" x14ac:dyDescent="0.2">
      <c r="A157" t="s">
        <v>306</v>
      </c>
      <c r="B157">
        <v>138483</v>
      </c>
      <c r="C157" s="41" t="s">
        <v>51</v>
      </c>
      <c r="D157" s="41" t="s">
        <v>21</v>
      </c>
      <c r="E157" s="96" t="s">
        <v>22</v>
      </c>
      <c r="F157" s="41">
        <v>2014</v>
      </c>
      <c r="G157" s="41">
        <v>69</v>
      </c>
      <c r="H157" s="41" t="s">
        <v>23</v>
      </c>
      <c r="I157">
        <v>4</v>
      </c>
      <c r="J157" s="41" t="s">
        <v>32</v>
      </c>
      <c r="K157" s="41" t="s">
        <v>26</v>
      </c>
      <c r="L157" s="41" t="s">
        <v>27</v>
      </c>
      <c r="M157" s="98" t="s">
        <v>295</v>
      </c>
      <c r="N157" s="41" t="s">
        <v>296</v>
      </c>
      <c r="O157" s="41">
        <v>2014</v>
      </c>
      <c r="P157" s="41" t="s">
        <v>297</v>
      </c>
      <c r="Q157" s="41"/>
      <c r="R157" s="41" t="s">
        <v>32</v>
      </c>
      <c r="S157" s="41" t="s">
        <v>33</v>
      </c>
    </row>
    <row r="158" spans="1:22" x14ac:dyDescent="0.2">
      <c r="A158" t="s">
        <v>307</v>
      </c>
      <c r="B158">
        <v>143375</v>
      </c>
      <c r="C158" s="41" t="s">
        <v>51</v>
      </c>
      <c r="D158" s="41" t="s">
        <v>21</v>
      </c>
      <c r="E158" s="96" t="s">
        <v>22</v>
      </c>
      <c r="F158" s="41">
        <v>2015</v>
      </c>
      <c r="G158" s="41">
        <v>53</v>
      </c>
      <c r="H158" s="41" t="s">
        <v>35</v>
      </c>
      <c r="I158" t="s">
        <v>224</v>
      </c>
      <c r="J158" s="41" t="s">
        <v>32</v>
      </c>
      <c r="K158" s="41" t="s">
        <v>26</v>
      </c>
      <c r="L158" s="41" t="s">
        <v>27</v>
      </c>
      <c r="M158" s="98" t="s">
        <v>300</v>
      </c>
      <c r="N158" s="41" t="s">
        <v>296</v>
      </c>
      <c r="O158" s="41">
        <v>2015</v>
      </c>
      <c r="P158" s="41" t="s">
        <v>297</v>
      </c>
      <c r="Q158" s="41"/>
      <c r="R158" s="41" t="s">
        <v>32</v>
      </c>
      <c r="S158" s="41" t="s">
        <v>33</v>
      </c>
    </row>
    <row r="159" spans="1:22" x14ac:dyDescent="0.2">
      <c r="A159" t="s">
        <v>308</v>
      </c>
      <c r="B159">
        <v>144260</v>
      </c>
      <c r="C159" s="41" t="s">
        <v>51</v>
      </c>
      <c r="D159" s="41" t="s">
        <v>21</v>
      </c>
      <c r="E159" s="96" t="s">
        <v>22</v>
      </c>
      <c r="F159" s="41">
        <v>2015</v>
      </c>
      <c r="G159" s="41">
        <v>59</v>
      </c>
      <c r="H159" s="41" t="s">
        <v>35</v>
      </c>
      <c r="I159" t="s">
        <v>309</v>
      </c>
      <c r="J159" s="41" t="s">
        <v>32</v>
      </c>
      <c r="K159" s="41" t="s">
        <v>26</v>
      </c>
      <c r="L159" s="41" t="s">
        <v>27</v>
      </c>
      <c r="M159" s="98" t="s">
        <v>300</v>
      </c>
      <c r="N159" s="41" t="s">
        <v>296</v>
      </c>
      <c r="O159" s="41">
        <v>2015</v>
      </c>
      <c r="P159" s="41" t="s">
        <v>297</v>
      </c>
      <c r="Q159" s="41"/>
      <c r="R159" s="41" t="s">
        <v>32</v>
      </c>
      <c r="S159" s="41" t="s">
        <v>33</v>
      </c>
    </row>
    <row r="160" spans="1:22" x14ac:dyDescent="0.2">
      <c r="A160" t="s">
        <v>310</v>
      </c>
      <c r="B160">
        <v>148364</v>
      </c>
      <c r="C160" s="41" t="s">
        <v>51</v>
      </c>
      <c r="D160" s="41" t="s">
        <v>21</v>
      </c>
      <c r="E160" s="96" t="s">
        <v>22</v>
      </c>
      <c r="F160" s="41">
        <v>2016</v>
      </c>
      <c r="G160" s="41">
        <v>67</v>
      </c>
      <c r="H160" s="41" t="s">
        <v>23</v>
      </c>
      <c r="I160" s="41" t="s">
        <v>32</v>
      </c>
      <c r="J160" s="41" t="s">
        <v>32</v>
      </c>
      <c r="K160" s="41" t="s">
        <v>26</v>
      </c>
      <c r="L160" s="41" t="s">
        <v>27</v>
      </c>
      <c r="M160" s="98" t="s">
        <v>295</v>
      </c>
      <c r="N160" s="41" t="s">
        <v>296</v>
      </c>
      <c r="O160" s="41">
        <v>2016</v>
      </c>
      <c r="P160" s="41" t="s">
        <v>297</v>
      </c>
      <c r="Q160" s="41"/>
      <c r="R160" s="41" t="s">
        <v>32</v>
      </c>
      <c r="S160" s="41" t="s">
        <v>33</v>
      </c>
    </row>
    <row r="161" spans="1:19" x14ac:dyDescent="0.2">
      <c r="A161" t="s">
        <v>311</v>
      </c>
      <c r="B161">
        <v>149033</v>
      </c>
      <c r="C161" s="41" t="s">
        <v>51</v>
      </c>
      <c r="D161" s="41" t="s">
        <v>21</v>
      </c>
      <c r="E161" s="96" t="s">
        <v>22</v>
      </c>
      <c r="F161" s="41">
        <v>2017</v>
      </c>
      <c r="G161" s="41">
        <v>63</v>
      </c>
      <c r="H161" s="41" t="s">
        <v>23</v>
      </c>
      <c r="I161" t="s">
        <v>24</v>
      </c>
      <c r="J161" s="41" t="s">
        <v>32</v>
      </c>
      <c r="K161" s="41" t="s">
        <v>26</v>
      </c>
      <c r="L161" s="41" t="s">
        <v>27</v>
      </c>
      <c r="M161" s="98" t="s">
        <v>295</v>
      </c>
      <c r="N161" s="41" t="s">
        <v>296</v>
      </c>
      <c r="O161" s="41">
        <v>2017</v>
      </c>
      <c r="P161" s="41" t="s">
        <v>297</v>
      </c>
      <c r="Q161" s="41"/>
      <c r="R161" s="41" t="s">
        <v>32</v>
      </c>
      <c r="S161" s="41" t="s">
        <v>33</v>
      </c>
    </row>
    <row r="162" spans="1:19" x14ac:dyDescent="0.2">
      <c r="A162" t="s">
        <v>312</v>
      </c>
      <c r="B162" t="s">
        <v>313</v>
      </c>
      <c r="C162" t="s">
        <v>20</v>
      </c>
      <c r="D162" t="s">
        <v>21</v>
      </c>
      <c r="E162" t="s">
        <v>314</v>
      </c>
      <c r="F162">
        <v>2023</v>
      </c>
      <c r="G162">
        <v>56</v>
      </c>
      <c r="H162" t="s">
        <v>35</v>
      </c>
      <c r="K162" t="s">
        <v>315</v>
      </c>
      <c r="P162" t="s">
        <v>316</v>
      </c>
      <c r="Q162" t="s">
        <v>31</v>
      </c>
      <c r="S162" s="41" t="s">
        <v>183</v>
      </c>
    </row>
    <row r="163" spans="1:19" x14ac:dyDescent="0.2">
      <c r="A163" t="s">
        <v>317</v>
      </c>
      <c r="B163" t="s">
        <v>318</v>
      </c>
      <c r="C163" t="s">
        <v>20</v>
      </c>
      <c r="D163" t="s">
        <v>21</v>
      </c>
      <c r="E163" t="s">
        <v>314</v>
      </c>
      <c r="F163">
        <v>2023</v>
      </c>
      <c r="G163">
        <v>42</v>
      </c>
      <c r="H163" t="s">
        <v>88</v>
      </c>
      <c r="K163" t="s">
        <v>315</v>
      </c>
      <c r="P163" t="s">
        <v>316</v>
      </c>
      <c r="Q163" t="s">
        <v>31</v>
      </c>
      <c r="S163" s="41" t="s">
        <v>183</v>
      </c>
    </row>
    <row r="164" spans="1:19" x14ac:dyDescent="0.2">
      <c r="A164" t="s">
        <v>319</v>
      </c>
      <c r="B164" t="s">
        <v>320</v>
      </c>
      <c r="C164" t="s">
        <v>20</v>
      </c>
      <c r="D164" t="s">
        <v>21</v>
      </c>
      <c r="E164" t="s">
        <v>314</v>
      </c>
      <c r="F164">
        <v>2023</v>
      </c>
      <c r="G164">
        <v>44</v>
      </c>
      <c r="H164" t="s">
        <v>88</v>
      </c>
      <c r="K164" t="s">
        <v>315</v>
      </c>
      <c r="P164" t="s">
        <v>316</v>
      </c>
      <c r="Q164" t="s">
        <v>31</v>
      </c>
      <c r="S164" s="41" t="s">
        <v>183</v>
      </c>
    </row>
    <row r="165" spans="1:19" x14ac:dyDescent="0.2">
      <c r="A165" t="s">
        <v>321</v>
      </c>
      <c r="B165" t="s">
        <v>322</v>
      </c>
      <c r="C165" t="s">
        <v>20</v>
      </c>
      <c r="D165" t="s">
        <v>21</v>
      </c>
      <c r="E165" t="s">
        <v>314</v>
      </c>
      <c r="F165">
        <v>2023</v>
      </c>
      <c r="G165">
        <v>59</v>
      </c>
      <c r="H165" t="s">
        <v>35</v>
      </c>
      <c r="K165" t="s">
        <v>315</v>
      </c>
      <c r="P165" t="s">
        <v>316</v>
      </c>
      <c r="Q165" t="s">
        <v>31</v>
      </c>
      <c r="S165" s="41" t="s">
        <v>183</v>
      </c>
    </row>
    <row r="166" spans="1:19" x14ac:dyDescent="0.2">
      <c r="A166" t="s">
        <v>323</v>
      </c>
      <c r="B166" t="s">
        <v>324</v>
      </c>
      <c r="C166" t="s">
        <v>20</v>
      </c>
      <c r="D166" t="s">
        <v>21</v>
      </c>
      <c r="E166" t="s">
        <v>314</v>
      </c>
      <c r="F166">
        <v>2023</v>
      </c>
      <c r="G166">
        <v>51</v>
      </c>
      <c r="H166" t="s">
        <v>35</v>
      </c>
      <c r="K166" t="s">
        <v>315</v>
      </c>
      <c r="P166" t="s">
        <v>316</v>
      </c>
      <c r="Q166" t="s">
        <v>31</v>
      </c>
      <c r="S166" s="41" t="s">
        <v>183</v>
      </c>
    </row>
    <row r="167" spans="1:19" x14ac:dyDescent="0.2">
      <c r="A167" t="s">
        <v>325</v>
      </c>
      <c r="B167" t="s">
        <v>326</v>
      </c>
      <c r="C167" t="s">
        <v>20</v>
      </c>
      <c r="D167" t="s">
        <v>21</v>
      </c>
      <c r="E167" t="s">
        <v>314</v>
      </c>
      <c r="F167">
        <v>2023</v>
      </c>
      <c r="G167">
        <v>50</v>
      </c>
      <c r="H167" t="s">
        <v>35</v>
      </c>
      <c r="K167" t="s">
        <v>315</v>
      </c>
      <c r="P167" t="s">
        <v>316</v>
      </c>
      <c r="Q167" t="s">
        <v>31</v>
      </c>
      <c r="S167" s="41" t="s">
        <v>183</v>
      </c>
    </row>
    <row r="168" spans="1:19" x14ac:dyDescent="0.2">
      <c r="A168" t="s">
        <v>327</v>
      </c>
      <c r="B168" t="s">
        <v>328</v>
      </c>
      <c r="C168" t="s">
        <v>51</v>
      </c>
      <c r="D168" t="s">
        <v>21</v>
      </c>
      <c r="E168" t="s">
        <v>314</v>
      </c>
      <c r="F168">
        <v>2023</v>
      </c>
      <c r="G168">
        <v>43</v>
      </c>
      <c r="H168" t="s">
        <v>88</v>
      </c>
      <c r="K168" t="s">
        <v>315</v>
      </c>
      <c r="P168" t="s">
        <v>316</v>
      </c>
      <c r="Q168" t="s">
        <v>31</v>
      </c>
      <c r="S168" s="41" t="s">
        <v>183</v>
      </c>
    </row>
    <row r="169" spans="1:19" x14ac:dyDescent="0.2">
      <c r="A169" t="s">
        <v>329</v>
      </c>
      <c r="B169" t="s">
        <v>330</v>
      </c>
      <c r="C169" t="s">
        <v>20</v>
      </c>
      <c r="D169" t="s">
        <v>21</v>
      </c>
      <c r="E169" t="s">
        <v>314</v>
      </c>
      <c r="F169">
        <v>2023</v>
      </c>
      <c r="G169">
        <v>40</v>
      </c>
      <c r="H169" t="s">
        <v>88</v>
      </c>
      <c r="K169" t="s">
        <v>315</v>
      </c>
      <c r="P169" t="s">
        <v>316</v>
      </c>
      <c r="Q169" t="s">
        <v>31</v>
      </c>
      <c r="S169" s="41" t="s">
        <v>183</v>
      </c>
    </row>
    <row r="170" spans="1:19" x14ac:dyDescent="0.2">
      <c r="A170" t="s">
        <v>331</v>
      </c>
      <c r="B170" t="s">
        <v>332</v>
      </c>
      <c r="C170" t="s">
        <v>20</v>
      </c>
      <c r="D170" t="s">
        <v>21</v>
      </c>
      <c r="E170" t="s">
        <v>314</v>
      </c>
      <c r="F170">
        <v>2023</v>
      </c>
      <c r="G170">
        <v>40</v>
      </c>
      <c r="H170" t="s">
        <v>88</v>
      </c>
      <c r="K170" t="s">
        <v>315</v>
      </c>
      <c r="P170" t="s">
        <v>316</v>
      </c>
      <c r="Q170" t="s">
        <v>31</v>
      </c>
      <c r="S170" s="41" t="s">
        <v>183</v>
      </c>
    </row>
    <row r="171" spans="1:19" x14ac:dyDescent="0.2">
      <c r="A171" t="s">
        <v>333</v>
      </c>
      <c r="B171" t="s">
        <v>334</v>
      </c>
      <c r="C171" t="s">
        <v>20</v>
      </c>
      <c r="D171" t="s">
        <v>21</v>
      </c>
      <c r="E171" t="s">
        <v>314</v>
      </c>
      <c r="F171">
        <v>2023</v>
      </c>
      <c r="G171">
        <v>43</v>
      </c>
      <c r="H171" t="s">
        <v>88</v>
      </c>
      <c r="K171" t="s">
        <v>315</v>
      </c>
      <c r="P171" t="s">
        <v>316</v>
      </c>
      <c r="Q171" t="s">
        <v>31</v>
      </c>
      <c r="S171" s="41" t="s">
        <v>183</v>
      </c>
    </row>
    <row r="172" spans="1:19" x14ac:dyDescent="0.2">
      <c r="A172" t="s">
        <v>335</v>
      </c>
      <c r="B172" t="s">
        <v>336</v>
      </c>
      <c r="C172" t="s">
        <v>20</v>
      </c>
      <c r="D172" t="s">
        <v>21</v>
      </c>
      <c r="E172" t="s">
        <v>314</v>
      </c>
      <c r="F172">
        <v>2023</v>
      </c>
      <c r="G172">
        <v>53</v>
      </c>
      <c r="H172" t="s">
        <v>35</v>
      </c>
      <c r="K172" t="s">
        <v>315</v>
      </c>
      <c r="P172" t="s">
        <v>316</v>
      </c>
      <c r="Q172" t="s">
        <v>31</v>
      </c>
      <c r="S172" s="41" t="s">
        <v>183</v>
      </c>
    </row>
    <row r="173" spans="1:19" x14ac:dyDescent="0.2">
      <c r="A173" t="s">
        <v>337</v>
      </c>
      <c r="B173" t="s">
        <v>338</v>
      </c>
      <c r="C173" t="s">
        <v>20</v>
      </c>
      <c r="D173" t="s">
        <v>21</v>
      </c>
      <c r="E173" t="s">
        <v>314</v>
      </c>
      <c r="F173">
        <v>2023</v>
      </c>
      <c r="G173">
        <v>62</v>
      </c>
      <c r="H173" t="s">
        <v>23</v>
      </c>
      <c r="K173" t="s">
        <v>315</v>
      </c>
      <c r="P173" t="s">
        <v>316</v>
      </c>
      <c r="Q173" t="s">
        <v>31</v>
      </c>
      <c r="S173" s="41" t="s">
        <v>183</v>
      </c>
    </row>
    <row r="174" spans="1:19" x14ac:dyDescent="0.2">
      <c r="A174" t="s">
        <v>339</v>
      </c>
      <c r="B174" t="s">
        <v>340</v>
      </c>
      <c r="C174" t="s">
        <v>20</v>
      </c>
      <c r="D174" t="s">
        <v>21</v>
      </c>
      <c r="E174" t="s">
        <v>314</v>
      </c>
      <c r="F174">
        <v>2023</v>
      </c>
      <c r="G174">
        <v>47</v>
      </c>
      <c r="H174" t="s">
        <v>88</v>
      </c>
      <c r="K174" t="s">
        <v>315</v>
      </c>
      <c r="P174" t="s">
        <v>316</v>
      </c>
      <c r="Q174" t="s">
        <v>31</v>
      </c>
      <c r="S174" s="41" t="s">
        <v>183</v>
      </c>
    </row>
    <row r="175" spans="1:19" x14ac:dyDescent="0.2">
      <c r="A175" t="s">
        <v>341</v>
      </c>
      <c r="B175" t="s">
        <v>342</v>
      </c>
      <c r="C175" t="s">
        <v>20</v>
      </c>
      <c r="D175" t="s">
        <v>21</v>
      </c>
      <c r="E175" t="s">
        <v>314</v>
      </c>
      <c r="F175">
        <v>2023</v>
      </c>
      <c r="G175">
        <v>40</v>
      </c>
      <c r="H175" t="s">
        <v>88</v>
      </c>
      <c r="K175" t="s">
        <v>315</v>
      </c>
      <c r="P175" t="s">
        <v>316</v>
      </c>
      <c r="Q175" t="s">
        <v>31</v>
      </c>
      <c r="S175" s="41" t="s">
        <v>183</v>
      </c>
    </row>
    <row r="176" spans="1:19" x14ac:dyDescent="0.2">
      <c r="A176" t="s">
        <v>343</v>
      </c>
      <c r="B176" t="s">
        <v>344</v>
      </c>
      <c r="C176" t="s">
        <v>51</v>
      </c>
      <c r="D176" t="s">
        <v>21</v>
      </c>
      <c r="E176" t="s">
        <v>314</v>
      </c>
      <c r="F176">
        <v>2023</v>
      </c>
      <c r="G176">
        <v>50</v>
      </c>
      <c r="H176" t="s">
        <v>35</v>
      </c>
      <c r="K176" t="s">
        <v>315</v>
      </c>
      <c r="P176" t="s">
        <v>316</v>
      </c>
      <c r="Q176" t="s">
        <v>31</v>
      </c>
      <c r="S176" s="41" t="s">
        <v>183</v>
      </c>
    </row>
    <row r="177" spans="1:19" x14ac:dyDescent="0.2">
      <c r="A177" t="s">
        <v>345</v>
      </c>
      <c r="B177" t="s">
        <v>346</v>
      </c>
      <c r="C177" t="s">
        <v>51</v>
      </c>
      <c r="D177" t="s">
        <v>21</v>
      </c>
      <c r="E177" t="s">
        <v>314</v>
      </c>
      <c r="F177">
        <v>2023</v>
      </c>
      <c r="G177">
        <v>44</v>
      </c>
      <c r="H177" t="s">
        <v>88</v>
      </c>
      <c r="K177" t="s">
        <v>315</v>
      </c>
      <c r="P177" t="s">
        <v>316</v>
      </c>
      <c r="Q177" t="s">
        <v>31</v>
      </c>
      <c r="S177" s="41" t="s">
        <v>183</v>
      </c>
    </row>
    <row r="178" spans="1:19" x14ac:dyDescent="0.2">
      <c r="A178" t="s">
        <v>347</v>
      </c>
      <c r="B178" t="s">
        <v>348</v>
      </c>
      <c r="C178" t="s">
        <v>51</v>
      </c>
      <c r="D178" t="s">
        <v>21</v>
      </c>
      <c r="E178" t="s">
        <v>314</v>
      </c>
      <c r="F178">
        <v>2023</v>
      </c>
      <c r="G178">
        <v>59</v>
      </c>
      <c r="H178" t="s">
        <v>35</v>
      </c>
      <c r="K178" t="s">
        <v>315</v>
      </c>
      <c r="P178" t="s">
        <v>316</v>
      </c>
      <c r="Q178" t="s">
        <v>31</v>
      </c>
      <c r="S178" s="41" t="s">
        <v>183</v>
      </c>
    </row>
    <row r="179" spans="1:19" x14ac:dyDescent="0.2">
      <c r="A179" t="s">
        <v>349</v>
      </c>
      <c r="B179" t="s">
        <v>350</v>
      </c>
      <c r="C179" t="s">
        <v>51</v>
      </c>
      <c r="D179" t="s">
        <v>21</v>
      </c>
      <c r="E179" t="s">
        <v>314</v>
      </c>
      <c r="F179">
        <v>2023</v>
      </c>
      <c r="G179">
        <v>68</v>
      </c>
      <c r="H179" t="s">
        <v>23</v>
      </c>
      <c r="K179" t="s">
        <v>315</v>
      </c>
      <c r="P179" t="s">
        <v>316</v>
      </c>
      <c r="Q179" t="s">
        <v>31</v>
      </c>
      <c r="S179" s="41" t="s">
        <v>183</v>
      </c>
    </row>
    <row r="180" spans="1:19" x14ac:dyDescent="0.2">
      <c r="A180" t="s">
        <v>351</v>
      </c>
      <c r="B180" t="s">
        <v>352</v>
      </c>
      <c r="C180" t="s">
        <v>51</v>
      </c>
      <c r="D180" t="s">
        <v>21</v>
      </c>
      <c r="E180" t="s">
        <v>314</v>
      </c>
      <c r="F180">
        <v>2023</v>
      </c>
      <c r="G180">
        <v>56</v>
      </c>
      <c r="H180" t="s">
        <v>35</v>
      </c>
      <c r="K180" t="s">
        <v>315</v>
      </c>
      <c r="P180" t="s">
        <v>316</v>
      </c>
      <c r="Q180" t="s">
        <v>31</v>
      </c>
      <c r="S180" s="41" t="s">
        <v>183</v>
      </c>
    </row>
    <row r="181" spans="1:19" x14ac:dyDescent="0.2">
      <c r="A181" t="s">
        <v>353</v>
      </c>
      <c r="B181" t="s">
        <v>354</v>
      </c>
      <c r="C181" t="s">
        <v>51</v>
      </c>
      <c r="D181" t="s">
        <v>21</v>
      </c>
      <c r="E181" t="s">
        <v>314</v>
      </c>
      <c r="F181">
        <v>2023</v>
      </c>
      <c r="G181">
        <v>40</v>
      </c>
      <c r="H181" t="s">
        <v>88</v>
      </c>
      <c r="K181" t="s">
        <v>315</v>
      </c>
      <c r="P181" t="s">
        <v>316</v>
      </c>
      <c r="Q181" t="s">
        <v>31</v>
      </c>
      <c r="S181" s="41" t="s">
        <v>183</v>
      </c>
    </row>
    <row r="182" spans="1:19" x14ac:dyDescent="0.2">
      <c r="A182" t="s">
        <v>355</v>
      </c>
      <c r="B182" t="s">
        <v>356</v>
      </c>
      <c r="C182" t="s">
        <v>51</v>
      </c>
      <c r="D182" t="s">
        <v>21</v>
      </c>
      <c r="E182" t="s">
        <v>314</v>
      </c>
      <c r="F182">
        <v>2023</v>
      </c>
      <c r="G182">
        <v>58</v>
      </c>
      <c r="H182" t="s">
        <v>35</v>
      </c>
      <c r="K182" t="s">
        <v>315</v>
      </c>
      <c r="P182" t="s">
        <v>316</v>
      </c>
      <c r="Q182" t="s">
        <v>31</v>
      </c>
      <c r="S182" s="41" t="s">
        <v>183</v>
      </c>
    </row>
    <row r="183" spans="1:19" x14ac:dyDescent="0.2">
      <c r="A183" t="s">
        <v>357</v>
      </c>
      <c r="B183" t="s">
        <v>358</v>
      </c>
      <c r="C183" t="s">
        <v>20</v>
      </c>
      <c r="D183" t="s">
        <v>21</v>
      </c>
      <c r="E183" t="s">
        <v>314</v>
      </c>
      <c r="F183">
        <v>2023</v>
      </c>
      <c r="G183">
        <v>48</v>
      </c>
      <c r="H183" t="s">
        <v>88</v>
      </c>
      <c r="K183" t="s">
        <v>315</v>
      </c>
      <c r="P183" t="s">
        <v>316</v>
      </c>
      <c r="Q183" t="s">
        <v>31</v>
      </c>
      <c r="S183" s="41" t="s">
        <v>183</v>
      </c>
    </row>
    <row r="184" spans="1:19" x14ac:dyDescent="0.2">
      <c r="A184" t="s">
        <v>359</v>
      </c>
      <c r="B184" t="s">
        <v>360</v>
      </c>
      <c r="C184" t="s">
        <v>51</v>
      </c>
      <c r="D184" t="s">
        <v>21</v>
      </c>
      <c r="E184" t="s">
        <v>314</v>
      </c>
      <c r="F184">
        <v>2023</v>
      </c>
      <c r="G184">
        <v>47</v>
      </c>
      <c r="H184" t="s">
        <v>88</v>
      </c>
      <c r="K184" t="s">
        <v>315</v>
      </c>
      <c r="P184" t="s">
        <v>316</v>
      </c>
      <c r="Q184" t="s">
        <v>31</v>
      </c>
      <c r="S184" s="41" t="s">
        <v>183</v>
      </c>
    </row>
    <row r="185" spans="1:19" x14ac:dyDescent="0.2">
      <c r="A185" t="s">
        <v>361</v>
      </c>
      <c r="B185" t="s">
        <v>362</v>
      </c>
      <c r="C185" t="s">
        <v>20</v>
      </c>
      <c r="D185" t="s">
        <v>21</v>
      </c>
      <c r="E185" t="s">
        <v>314</v>
      </c>
      <c r="F185">
        <v>2023</v>
      </c>
      <c r="G185">
        <v>46</v>
      </c>
      <c r="H185" t="s">
        <v>88</v>
      </c>
      <c r="K185" t="s">
        <v>315</v>
      </c>
      <c r="P185" t="s">
        <v>316</v>
      </c>
      <c r="Q185" t="s">
        <v>31</v>
      </c>
      <c r="S185" s="41" t="s">
        <v>183</v>
      </c>
    </row>
    <row r="186" spans="1:19" x14ac:dyDescent="0.2">
      <c r="A186" t="s">
        <v>363</v>
      </c>
      <c r="B186" t="s">
        <v>364</v>
      </c>
      <c r="C186" t="s">
        <v>51</v>
      </c>
      <c r="D186" t="s">
        <v>21</v>
      </c>
      <c r="E186" t="s">
        <v>314</v>
      </c>
      <c r="F186">
        <v>2023</v>
      </c>
      <c r="G186">
        <v>48</v>
      </c>
      <c r="H186" t="s">
        <v>88</v>
      </c>
      <c r="K186" t="s">
        <v>315</v>
      </c>
      <c r="P186" t="s">
        <v>316</v>
      </c>
      <c r="Q186" t="s">
        <v>31</v>
      </c>
      <c r="S186" s="41" t="s">
        <v>183</v>
      </c>
    </row>
    <row r="187" spans="1:19" x14ac:dyDescent="0.2">
      <c r="A187" t="s">
        <v>365</v>
      </c>
      <c r="B187" t="s">
        <v>366</v>
      </c>
      <c r="C187" t="s">
        <v>20</v>
      </c>
      <c r="D187" t="s">
        <v>21</v>
      </c>
      <c r="E187" t="s">
        <v>314</v>
      </c>
      <c r="F187">
        <v>2023</v>
      </c>
      <c r="G187">
        <v>46</v>
      </c>
      <c r="H187" t="s">
        <v>88</v>
      </c>
      <c r="K187" t="s">
        <v>315</v>
      </c>
      <c r="P187" t="s">
        <v>316</v>
      </c>
      <c r="Q187" t="s">
        <v>31</v>
      </c>
      <c r="S187" s="41" t="s">
        <v>183</v>
      </c>
    </row>
    <row r="188" spans="1:19" x14ac:dyDescent="0.2">
      <c r="A188" t="s">
        <v>367</v>
      </c>
      <c r="B188" t="s">
        <v>368</v>
      </c>
      <c r="C188" t="s">
        <v>20</v>
      </c>
      <c r="D188" t="s">
        <v>21</v>
      </c>
      <c r="E188" t="s">
        <v>314</v>
      </c>
      <c r="F188">
        <v>2023</v>
      </c>
      <c r="G188">
        <v>51</v>
      </c>
      <c r="H188" t="s">
        <v>35</v>
      </c>
      <c r="K188" t="s">
        <v>315</v>
      </c>
      <c r="P188" t="s">
        <v>316</v>
      </c>
      <c r="Q188" t="s">
        <v>31</v>
      </c>
      <c r="S188" s="41" t="s">
        <v>183</v>
      </c>
    </row>
    <row r="189" spans="1:19" x14ac:dyDescent="0.2">
      <c r="A189" t="s">
        <v>369</v>
      </c>
      <c r="B189" t="s">
        <v>370</v>
      </c>
      <c r="C189" t="s">
        <v>20</v>
      </c>
      <c r="D189" t="s">
        <v>21</v>
      </c>
      <c r="E189" t="s">
        <v>314</v>
      </c>
      <c r="F189">
        <v>2023</v>
      </c>
      <c r="G189">
        <v>52</v>
      </c>
      <c r="H189" t="s">
        <v>35</v>
      </c>
      <c r="K189" t="s">
        <v>315</v>
      </c>
      <c r="P189" t="s">
        <v>316</v>
      </c>
      <c r="Q189" t="s">
        <v>31</v>
      </c>
      <c r="S189" s="41" t="s">
        <v>183</v>
      </c>
    </row>
    <row r="190" spans="1:19" x14ac:dyDescent="0.2">
      <c r="A190" t="s">
        <v>371</v>
      </c>
      <c r="B190" t="s">
        <v>372</v>
      </c>
      <c r="C190" t="s">
        <v>51</v>
      </c>
      <c r="D190" t="s">
        <v>21</v>
      </c>
      <c r="E190" t="s">
        <v>314</v>
      </c>
      <c r="F190">
        <v>2023</v>
      </c>
      <c r="G190">
        <v>43</v>
      </c>
      <c r="H190" t="s">
        <v>88</v>
      </c>
      <c r="K190" t="s">
        <v>315</v>
      </c>
      <c r="P190" t="s">
        <v>316</v>
      </c>
      <c r="Q190" t="s">
        <v>31</v>
      </c>
      <c r="S190" s="41" t="s">
        <v>183</v>
      </c>
    </row>
    <row r="191" spans="1:19" x14ac:dyDescent="0.2">
      <c r="A191" t="s">
        <v>373</v>
      </c>
      <c r="B191" t="s">
        <v>374</v>
      </c>
      <c r="C191" t="s">
        <v>20</v>
      </c>
      <c r="D191" t="s">
        <v>21</v>
      </c>
      <c r="E191" t="s">
        <v>314</v>
      </c>
      <c r="F191">
        <v>2023</v>
      </c>
      <c r="G191">
        <v>56</v>
      </c>
      <c r="H191" t="s">
        <v>35</v>
      </c>
      <c r="K191" t="s">
        <v>315</v>
      </c>
      <c r="P191" t="s">
        <v>316</v>
      </c>
      <c r="Q191" t="s">
        <v>31</v>
      </c>
      <c r="S191" s="41" t="s">
        <v>183</v>
      </c>
    </row>
    <row r="192" spans="1:19" x14ac:dyDescent="0.2">
      <c r="A192" t="s">
        <v>375</v>
      </c>
      <c r="B192" t="s">
        <v>376</v>
      </c>
      <c r="C192" t="s">
        <v>51</v>
      </c>
      <c r="D192" t="s">
        <v>21</v>
      </c>
      <c r="E192" t="s">
        <v>314</v>
      </c>
      <c r="F192">
        <v>2023</v>
      </c>
      <c r="G192">
        <v>49</v>
      </c>
      <c r="H192" t="s">
        <v>88</v>
      </c>
      <c r="K192" t="s">
        <v>315</v>
      </c>
      <c r="P192" t="s">
        <v>316</v>
      </c>
      <c r="Q192" t="s">
        <v>31</v>
      </c>
      <c r="S192" s="41" t="s">
        <v>183</v>
      </c>
    </row>
    <row r="193" spans="1:19" x14ac:dyDescent="0.2">
      <c r="A193" t="s">
        <v>377</v>
      </c>
      <c r="B193" t="s">
        <v>378</v>
      </c>
      <c r="C193" t="s">
        <v>20</v>
      </c>
      <c r="D193" t="s">
        <v>21</v>
      </c>
      <c r="E193" t="s">
        <v>314</v>
      </c>
      <c r="F193">
        <v>2023</v>
      </c>
      <c r="G193">
        <v>49</v>
      </c>
      <c r="H193" t="s">
        <v>88</v>
      </c>
      <c r="K193" t="s">
        <v>315</v>
      </c>
      <c r="P193" t="s">
        <v>316</v>
      </c>
      <c r="Q193" t="s">
        <v>31</v>
      </c>
      <c r="S193" s="41" t="s">
        <v>183</v>
      </c>
    </row>
    <row r="194" spans="1:19" x14ac:dyDescent="0.2">
      <c r="A194" t="s">
        <v>379</v>
      </c>
      <c r="B194" t="s">
        <v>380</v>
      </c>
      <c r="C194" t="s">
        <v>51</v>
      </c>
      <c r="D194" t="s">
        <v>21</v>
      </c>
      <c r="E194" t="s">
        <v>314</v>
      </c>
      <c r="F194">
        <v>2023</v>
      </c>
      <c r="G194">
        <v>65</v>
      </c>
      <c r="H194" t="s">
        <v>23</v>
      </c>
      <c r="K194" t="s">
        <v>315</v>
      </c>
      <c r="P194" t="s">
        <v>316</v>
      </c>
      <c r="Q194" t="s">
        <v>31</v>
      </c>
      <c r="S194" s="41" t="s">
        <v>183</v>
      </c>
    </row>
    <row r="195" spans="1:19" x14ac:dyDescent="0.2">
      <c r="A195" t="s">
        <v>381</v>
      </c>
      <c r="B195" t="s">
        <v>382</v>
      </c>
      <c r="C195" t="s">
        <v>51</v>
      </c>
      <c r="D195" t="s">
        <v>21</v>
      </c>
      <c r="E195" t="s">
        <v>314</v>
      </c>
      <c r="F195">
        <v>2023</v>
      </c>
      <c r="G195">
        <v>56</v>
      </c>
      <c r="H195" t="s">
        <v>35</v>
      </c>
      <c r="K195" t="s">
        <v>315</v>
      </c>
      <c r="P195" t="s">
        <v>316</v>
      </c>
      <c r="Q195" t="s">
        <v>31</v>
      </c>
      <c r="S195" s="41" t="s">
        <v>183</v>
      </c>
    </row>
    <row r="196" spans="1:19" x14ac:dyDescent="0.2">
      <c r="A196" t="s">
        <v>383</v>
      </c>
      <c r="B196" t="s">
        <v>384</v>
      </c>
      <c r="C196" t="s">
        <v>20</v>
      </c>
      <c r="D196" t="s">
        <v>385</v>
      </c>
      <c r="F196">
        <v>2025</v>
      </c>
      <c r="G196">
        <v>71</v>
      </c>
      <c r="H196" t="s">
        <v>46</v>
      </c>
      <c r="K196" t="s">
        <v>315</v>
      </c>
      <c r="P196" t="s">
        <v>316</v>
      </c>
      <c r="Q196" t="s">
        <v>31</v>
      </c>
      <c r="S196" t="s">
        <v>386</v>
      </c>
    </row>
    <row r="197" spans="1:19" x14ac:dyDescent="0.2">
      <c r="A197" t="s">
        <v>387</v>
      </c>
      <c r="B197" t="s">
        <v>388</v>
      </c>
      <c r="C197" t="s">
        <v>20</v>
      </c>
      <c r="D197" t="s">
        <v>21</v>
      </c>
      <c r="F197">
        <v>2025</v>
      </c>
      <c r="G197">
        <v>57</v>
      </c>
      <c r="H197" t="s">
        <v>35</v>
      </c>
      <c r="K197" t="s">
        <v>315</v>
      </c>
      <c r="P197" t="s">
        <v>316</v>
      </c>
      <c r="Q197" t="s">
        <v>31</v>
      </c>
      <c r="S197" t="s">
        <v>386</v>
      </c>
    </row>
    <row r="198" spans="1:19" x14ac:dyDescent="0.2">
      <c r="A198" t="s">
        <v>389</v>
      </c>
      <c r="B198" t="s">
        <v>390</v>
      </c>
      <c r="C198" t="s">
        <v>20</v>
      </c>
      <c r="D198" t="s">
        <v>21</v>
      </c>
      <c r="F198">
        <v>2025</v>
      </c>
      <c r="G198">
        <v>36</v>
      </c>
      <c r="H198" t="s">
        <v>44</v>
      </c>
      <c r="K198" t="s">
        <v>315</v>
      </c>
      <c r="P198" t="s">
        <v>316</v>
      </c>
      <c r="Q198" t="s">
        <v>31</v>
      </c>
      <c r="S198" t="s">
        <v>386</v>
      </c>
    </row>
    <row r="199" spans="1:19" x14ac:dyDescent="0.2">
      <c r="A199" t="s">
        <v>391</v>
      </c>
      <c r="B199" t="s">
        <v>392</v>
      </c>
      <c r="C199" t="s">
        <v>20</v>
      </c>
      <c r="D199" t="s">
        <v>385</v>
      </c>
      <c r="F199">
        <v>2025</v>
      </c>
      <c r="G199">
        <v>50</v>
      </c>
      <c r="H199" t="s">
        <v>35</v>
      </c>
      <c r="K199" t="s">
        <v>315</v>
      </c>
      <c r="P199" t="s">
        <v>316</v>
      </c>
      <c r="Q199" t="s">
        <v>31</v>
      </c>
      <c r="S199" t="s">
        <v>386</v>
      </c>
    </row>
    <row r="200" spans="1:19" x14ac:dyDescent="0.2">
      <c r="A200" t="s">
        <v>393</v>
      </c>
      <c r="B200" t="s">
        <v>394</v>
      </c>
      <c r="C200" t="s">
        <v>20</v>
      </c>
      <c r="D200" t="s">
        <v>21</v>
      </c>
      <c r="F200">
        <v>2025</v>
      </c>
      <c r="G200">
        <v>36</v>
      </c>
      <c r="H200" t="s">
        <v>44</v>
      </c>
      <c r="K200" t="s">
        <v>315</v>
      </c>
      <c r="P200" t="s">
        <v>316</v>
      </c>
      <c r="Q200" t="s">
        <v>31</v>
      </c>
      <c r="S200" t="s">
        <v>386</v>
      </c>
    </row>
    <row r="201" spans="1:19" x14ac:dyDescent="0.2">
      <c r="A201" t="s">
        <v>395</v>
      </c>
      <c r="B201" t="s">
        <v>396</v>
      </c>
      <c r="C201" t="s">
        <v>20</v>
      </c>
      <c r="D201" t="s">
        <v>21</v>
      </c>
      <c r="F201">
        <v>2025</v>
      </c>
      <c r="G201">
        <v>23</v>
      </c>
      <c r="H201" t="s">
        <v>397</v>
      </c>
      <c r="K201" t="s">
        <v>315</v>
      </c>
      <c r="P201" t="s">
        <v>316</v>
      </c>
      <c r="Q201" t="s">
        <v>31</v>
      </c>
      <c r="S201" t="s">
        <v>386</v>
      </c>
    </row>
    <row r="202" spans="1:19" x14ac:dyDescent="0.2">
      <c r="A202" t="s">
        <v>398</v>
      </c>
      <c r="B202" t="s">
        <v>399</v>
      </c>
      <c r="C202" t="s">
        <v>51</v>
      </c>
      <c r="D202" t="s">
        <v>41</v>
      </c>
      <c r="F202">
        <v>2025</v>
      </c>
      <c r="G202">
        <v>38</v>
      </c>
      <c r="H202" t="s">
        <v>44</v>
      </c>
      <c r="K202" t="s">
        <v>315</v>
      </c>
      <c r="P202" t="s">
        <v>316</v>
      </c>
      <c r="Q202" t="s">
        <v>31</v>
      </c>
      <c r="S202" t="s">
        <v>386</v>
      </c>
    </row>
    <row r="203" spans="1:19" x14ac:dyDescent="0.2">
      <c r="A203" t="s">
        <v>400</v>
      </c>
      <c r="B203" t="s">
        <v>401</v>
      </c>
      <c r="C203" t="s">
        <v>51</v>
      </c>
      <c r="D203" t="s">
        <v>21</v>
      </c>
      <c r="F203">
        <v>2025</v>
      </c>
      <c r="G203">
        <v>66</v>
      </c>
      <c r="H203" t="s">
        <v>23</v>
      </c>
      <c r="K203" t="s">
        <v>315</v>
      </c>
      <c r="P203" t="s">
        <v>316</v>
      </c>
      <c r="Q203" t="s">
        <v>31</v>
      </c>
      <c r="S203" t="s">
        <v>386</v>
      </c>
    </row>
    <row r="204" spans="1:19" x14ac:dyDescent="0.2">
      <c r="A204" t="s">
        <v>402</v>
      </c>
      <c r="B204" t="s">
        <v>403</v>
      </c>
      <c r="C204" t="s">
        <v>20</v>
      </c>
      <c r="D204" t="s">
        <v>21</v>
      </c>
      <c r="F204">
        <v>2025</v>
      </c>
      <c r="G204">
        <v>47</v>
      </c>
      <c r="H204" t="s">
        <v>88</v>
      </c>
      <c r="K204" t="s">
        <v>315</v>
      </c>
      <c r="P204" t="s">
        <v>316</v>
      </c>
      <c r="Q204" t="s">
        <v>31</v>
      </c>
      <c r="S204" t="s">
        <v>386</v>
      </c>
    </row>
    <row r="205" spans="1:19" x14ac:dyDescent="0.2">
      <c r="A205" t="s">
        <v>404</v>
      </c>
      <c r="B205" t="s">
        <v>405</v>
      </c>
      <c r="C205" t="s">
        <v>51</v>
      </c>
      <c r="D205" t="s">
        <v>21</v>
      </c>
      <c r="F205">
        <v>2025</v>
      </c>
      <c r="G205">
        <v>52</v>
      </c>
      <c r="H205" t="s">
        <v>35</v>
      </c>
      <c r="K205" t="s">
        <v>315</v>
      </c>
      <c r="P205" t="s">
        <v>316</v>
      </c>
      <c r="Q205" t="s">
        <v>31</v>
      </c>
      <c r="S205" t="s">
        <v>386</v>
      </c>
    </row>
    <row r="206" spans="1:19" x14ac:dyDescent="0.2">
      <c r="A206" t="s">
        <v>406</v>
      </c>
      <c r="B206" t="s">
        <v>407</v>
      </c>
      <c r="C206" t="s">
        <v>20</v>
      </c>
      <c r="D206" t="s">
        <v>21</v>
      </c>
      <c r="F206">
        <v>2025</v>
      </c>
      <c r="G206">
        <v>28</v>
      </c>
      <c r="H206" t="s">
        <v>397</v>
      </c>
      <c r="K206" t="s">
        <v>315</v>
      </c>
      <c r="P206" t="s">
        <v>316</v>
      </c>
      <c r="Q206" t="s">
        <v>31</v>
      </c>
      <c r="S206" t="s">
        <v>386</v>
      </c>
    </row>
    <row r="207" spans="1:19" x14ac:dyDescent="0.2">
      <c r="A207" t="s">
        <v>408</v>
      </c>
      <c r="B207" t="s">
        <v>409</v>
      </c>
      <c r="C207" t="s">
        <v>51</v>
      </c>
      <c r="D207" t="s">
        <v>21</v>
      </c>
      <c r="F207">
        <v>2025</v>
      </c>
      <c r="G207">
        <v>46</v>
      </c>
      <c r="H207" t="s">
        <v>88</v>
      </c>
      <c r="K207" t="s">
        <v>315</v>
      </c>
      <c r="P207" t="s">
        <v>316</v>
      </c>
      <c r="Q207" t="s">
        <v>31</v>
      </c>
      <c r="S207" t="s">
        <v>386</v>
      </c>
    </row>
    <row r="208" spans="1:19" x14ac:dyDescent="0.2">
      <c r="A208" t="s">
        <v>410</v>
      </c>
      <c r="B208" t="s">
        <v>411</v>
      </c>
      <c r="C208" t="s">
        <v>51</v>
      </c>
      <c r="D208" t="s">
        <v>385</v>
      </c>
      <c r="F208">
        <v>2025</v>
      </c>
      <c r="G208">
        <v>24</v>
      </c>
      <c r="H208" t="s">
        <v>397</v>
      </c>
      <c r="K208" t="s">
        <v>315</v>
      </c>
      <c r="P208" t="s">
        <v>316</v>
      </c>
      <c r="Q208" t="s">
        <v>31</v>
      </c>
      <c r="S208" t="s">
        <v>386</v>
      </c>
    </row>
    <row r="209" spans="1:19" x14ac:dyDescent="0.2">
      <c r="A209" t="s">
        <v>412</v>
      </c>
      <c r="B209" t="s">
        <v>413</v>
      </c>
      <c r="C209" t="s">
        <v>51</v>
      </c>
      <c r="D209" t="s">
        <v>21</v>
      </c>
      <c r="F209">
        <v>2025</v>
      </c>
      <c r="G209">
        <v>24</v>
      </c>
      <c r="H209" t="s">
        <v>397</v>
      </c>
      <c r="K209" t="s">
        <v>315</v>
      </c>
      <c r="P209" t="s">
        <v>316</v>
      </c>
      <c r="Q209" t="s">
        <v>31</v>
      </c>
      <c r="S209" t="s">
        <v>386</v>
      </c>
    </row>
    <row r="210" spans="1:19" x14ac:dyDescent="0.2">
      <c r="A210" t="s">
        <v>414</v>
      </c>
      <c r="B210" t="s">
        <v>415</v>
      </c>
      <c r="C210" t="s">
        <v>20</v>
      </c>
      <c r="D210" t="s">
        <v>385</v>
      </c>
      <c r="F210">
        <v>2025</v>
      </c>
      <c r="G210">
        <v>47</v>
      </c>
      <c r="H210" t="s">
        <v>88</v>
      </c>
      <c r="K210" t="s">
        <v>315</v>
      </c>
      <c r="P210" t="s">
        <v>316</v>
      </c>
      <c r="Q210" t="s">
        <v>31</v>
      </c>
      <c r="S210" t="s">
        <v>386</v>
      </c>
    </row>
    <row r="211" spans="1:19" x14ac:dyDescent="0.2">
      <c r="A211" t="s">
        <v>416</v>
      </c>
      <c r="B211" t="s">
        <v>417</v>
      </c>
      <c r="C211" t="s">
        <v>51</v>
      </c>
      <c r="D211" t="s">
        <v>385</v>
      </c>
      <c r="F211">
        <v>2025</v>
      </c>
      <c r="G211">
        <v>24</v>
      </c>
      <c r="H211" t="s">
        <v>397</v>
      </c>
      <c r="K211" t="s">
        <v>315</v>
      </c>
      <c r="P211" t="s">
        <v>316</v>
      </c>
      <c r="Q211" t="s">
        <v>31</v>
      </c>
      <c r="S211" t="s">
        <v>386</v>
      </c>
    </row>
    <row r="212" spans="1:19" x14ac:dyDescent="0.2">
      <c r="A212" t="s">
        <v>418</v>
      </c>
      <c r="B212" t="s">
        <v>419</v>
      </c>
      <c r="C212" t="s">
        <v>51</v>
      </c>
      <c r="D212" t="s">
        <v>21</v>
      </c>
      <c r="F212">
        <v>2025</v>
      </c>
      <c r="G212">
        <v>73</v>
      </c>
      <c r="H212" t="s">
        <v>46</v>
      </c>
      <c r="K212" t="s">
        <v>315</v>
      </c>
      <c r="P212" t="s">
        <v>316</v>
      </c>
      <c r="Q212" t="s">
        <v>31</v>
      </c>
      <c r="S212" t="s">
        <v>386</v>
      </c>
    </row>
    <row r="213" spans="1:19" x14ac:dyDescent="0.2">
      <c r="A213" t="s">
        <v>420</v>
      </c>
      <c r="B213" t="s">
        <v>421</v>
      </c>
      <c r="C213" t="s">
        <v>20</v>
      </c>
      <c r="D213" t="s">
        <v>21</v>
      </c>
      <c r="F213" s="1">
        <v>2025</v>
      </c>
      <c r="G213" s="1">
        <v>75</v>
      </c>
      <c r="H213" t="s">
        <v>46</v>
      </c>
      <c r="K213" t="s">
        <v>315</v>
      </c>
      <c r="P213" t="s">
        <v>316</v>
      </c>
      <c r="S213" t="s">
        <v>386</v>
      </c>
    </row>
    <row r="214" spans="1:19" x14ac:dyDescent="0.2">
      <c r="A214" t="s">
        <v>422</v>
      </c>
      <c r="B214" t="s">
        <v>423</v>
      </c>
      <c r="C214" t="s">
        <v>20</v>
      </c>
      <c r="D214" t="s">
        <v>21</v>
      </c>
      <c r="F214" s="1">
        <v>2025</v>
      </c>
      <c r="G214" s="1">
        <v>68</v>
      </c>
      <c r="H214" t="s">
        <v>23</v>
      </c>
      <c r="K214" t="s">
        <v>315</v>
      </c>
      <c r="P214" t="s">
        <v>316</v>
      </c>
      <c r="S214" t="s">
        <v>386</v>
      </c>
    </row>
    <row r="215" spans="1:19" x14ac:dyDescent="0.2">
      <c r="A215" t="s">
        <v>424</v>
      </c>
      <c r="B215" t="s">
        <v>425</v>
      </c>
      <c r="C215" t="s">
        <v>51</v>
      </c>
      <c r="D215" t="s">
        <v>385</v>
      </c>
      <c r="F215" s="1">
        <v>2025</v>
      </c>
      <c r="G215" s="1">
        <v>32</v>
      </c>
      <c r="H215" t="s">
        <v>44</v>
      </c>
      <c r="K215" t="s">
        <v>315</v>
      </c>
      <c r="P215" t="s">
        <v>316</v>
      </c>
      <c r="S215" t="s">
        <v>386</v>
      </c>
    </row>
    <row r="216" spans="1:19" x14ac:dyDescent="0.2">
      <c r="A216" t="s">
        <v>426</v>
      </c>
      <c r="B216" t="s">
        <v>427</v>
      </c>
      <c r="C216" t="s">
        <v>20</v>
      </c>
      <c r="D216" t="s">
        <v>41</v>
      </c>
      <c r="F216" s="1">
        <v>2025</v>
      </c>
      <c r="G216" s="1">
        <v>65</v>
      </c>
      <c r="H216" t="s">
        <v>23</v>
      </c>
      <c r="K216" t="s">
        <v>315</v>
      </c>
      <c r="P216" t="s">
        <v>316</v>
      </c>
      <c r="S216" t="s">
        <v>386</v>
      </c>
    </row>
    <row r="217" spans="1:19" x14ac:dyDescent="0.2">
      <c r="A217" t="s">
        <v>428</v>
      </c>
      <c r="B217" t="s">
        <v>429</v>
      </c>
      <c r="C217" t="s">
        <v>20</v>
      </c>
      <c r="D217" t="s">
        <v>21</v>
      </c>
      <c r="F217" s="1">
        <v>2025</v>
      </c>
      <c r="G217" s="1">
        <v>76</v>
      </c>
      <c r="H217" t="s">
        <v>46</v>
      </c>
      <c r="K217" t="s">
        <v>315</v>
      </c>
      <c r="P217" t="s">
        <v>316</v>
      </c>
      <c r="S217" t="s">
        <v>386</v>
      </c>
    </row>
    <row r="218" spans="1:19" s="93" customFormat="1" x14ac:dyDescent="0.2">
      <c r="A218" s="93" t="s">
        <v>430</v>
      </c>
      <c r="B218" s="94" t="s">
        <v>431</v>
      </c>
      <c r="F218" s="95"/>
      <c r="G218" s="95"/>
      <c r="K218" s="93" t="s">
        <v>315</v>
      </c>
      <c r="P218" s="93" t="s">
        <v>316</v>
      </c>
      <c r="S218" s="93" t="s">
        <v>432</v>
      </c>
    </row>
    <row r="219" spans="1:19" x14ac:dyDescent="0.2">
      <c r="A219" t="s">
        <v>412</v>
      </c>
      <c r="B219" t="s">
        <v>413</v>
      </c>
      <c r="C219" t="s">
        <v>51</v>
      </c>
      <c r="D219" t="s">
        <v>21</v>
      </c>
      <c r="F219" s="1">
        <v>2025</v>
      </c>
      <c r="G219" s="1">
        <v>24</v>
      </c>
      <c r="H219" t="s">
        <v>397</v>
      </c>
      <c r="K219" t="s">
        <v>315</v>
      </c>
      <c r="P219" t="s">
        <v>316</v>
      </c>
      <c r="Q219" t="s">
        <v>31</v>
      </c>
      <c r="S219" t="s">
        <v>386</v>
      </c>
    </row>
    <row r="220" spans="1:19" x14ac:dyDescent="0.2">
      <c r="A220" t="s">
        <v>433</v>
      </c>
      <c r="B220" t="s">
        <v>434</v>
      </c>
      <c r="C220" t="s">
        <v>20</v>
      </c>
      <c r="D220" t="s">
        <v>21</v>
      </c>
      <c r="F220" s="1">
        <v>2025</v>
      </c>
      <c r="G220" s="1">
        <v>71</v>
      </c>
      <c r="H220" t="s">
        <v>46</v>
      </c>
      <c r="K220" t="s">
        <v>315</v>
      </c>
      <c r="P220" t="s">
        <v>316</v>
      </c>
      <c r="S220" t="s">
        <v>386</v>
      </c>
    </row>
    <row r="221" spans="1:19" x14ac:dyDescent="0.2">
      <c r="A221" s="99" t="s">
        <v>435</v>
      </c>
      <c r="B221" t="s">
        <v>436</v>
      </c>
      <c r="C221" t="s">
        <v>20</v>
      </c>
      <c r="D221" t="s">
        <v>21</v>
      </c>
      <c r="F221" s="1">
        <v>2025</v>
      </c>
      <c r="G221" s="1">
        <v>42</v>
      </c>
      <c r="H221" t="s">
        <v>88</v>
      </c>
      <c r="K221" t="s">
        <v>315</v>
      </c>
      <c r="P221" t="s">
        <v>316</v>
      </c>
      <c r="S221" t="s">
        <v>386</v>
      </c>
    </row>
    <row r="222" spans="1:19" x14ac:dyDescent="0.2">
      <c r="A222" t="s">
        <v>437</v>
      </c>
      <c r="B222" t="s">
        <v>438</v>
      </c>
      <c r="C222" t="s">
        <v>20</v>
      </c>
      <c r="D222" t="s">
        <v>21</v>
      </c>
      <c r="F222" s="1">
        <v>2025</v>
      </c>
      <c r="G222" s="1">
        <v>62</v>
      </c>
      <c r="H222" t="s">
        <v>23</v>
      </c>
      <c r="K222" t="s">
        <v>315</v>
      </c>
      <c r="P222" t="s">
        <v>316</v>
      </c>
      <c r="S222" t="s">
        <v>386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29"/>
  <sheetViews>
    <sheetView zoomScale="120" zoomScaleNormal="120" workbookViewId="0">
      <pane ySplit="1" topLeftCell="A2" activePane="bottomLeft" state="frozen"/>
      <selection pane="bottomLeft" activeCell="A5" sqref="A5:XFD5"/>
    </sheetView>
  </sheetViews>
  <sheetFormatPr baseColWidth="10" defaultRowHeight="15" x14ac:dyDescent="0.2"/>
  <cols>
    <col min="12" max="12" width="18.83203125" customWidth="1"/>
    <col min="13" max="13" width="17.33203125" customWidth="1"/>
  </cols>
  <sheetData>
    <row r="1" spans="1:18" s="9" customFormat="1" ht="48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439</v>
      </c>
      <c r="R1" s="7" t="s">
        <v>18</v>
      </c>
    </row>
    <row r="3" spans="1:18" x14ac:dyDescent="0.2">
      <c r="C3" s="4"/>
      <c r="D3" s="4"/>
      <c r="E3" s="4"/>
      <c r="F3" s="3"/>
      <c r="G3" s="3"/>
      <c r="H3" s="6"/>
      <c r="I3" s="4"/>
      <c r="J3" s="39"/>
      <c r="M3" s="4"/>
      <c r="N3" s="4"/>
      <c r="O3" s="3"/>
    </row>
    <row r="4" spans="1:18" x14ac:dyDescent="0.2">
      <c r="A4" s="41" t="s">
        <v>134</v>
      </c>
      <c r="B4" s="41" t="s">
        <v>135</v>
      </c>
      <c r="C4" s="72" t="s">
        <v>20</v>
      </c>
      <c r="D4" s="73" t="s">
        <v>106</v>
      </c>
      <c r="E4" s="73" t="s">
        <v>107</v>
      </c>
      <c r="F4" s="41">
        <v>2024</v>
      </c>
      <c r="G4" s="72">
        <v>50</v>
      </c>
      <c r="H4" s="41" t="s">
        <v>35</v>
      </c>
      <c r="I4" s="41" t="s">
        <v>32</v>
      </c>
      <c r="J4" s="41" t="s">
        <v>76</v>
      </c>
      <c r="K4" s="41" t="s">
        <v>26</v>
      </c>
      <c r="L4" s="41" t="s">
        <v>27</v>
      </c>
      <c r="M4" s="72" t="s">
        <v>108</v>
      </c>
      <c r="N4" s="41" t="s">
        <v>136</v>
      </c>
      <c r="O4" s="41">
        <v>2024</v>
      </c>
      <c r="P4" s="41" t="s">
        <v>83</v>
      </c>
      <c r="Q4" s="41" t="s">
        <v>32</v>
      </c>
      <c r="R4" s="41" t="s">
        <v>109</v>
      </c>
    </row>
    <row r="5" spans="1:18" x14ac:dyDescent="0.2">
      <c r="A5" s="41" t="s">
        <v>175</v>
      </c>
      <c r="B5" s="65">
        <v>145640</v>
      </c>
      <c r="C5" s="43" t="s">
        <v>20</v>
      </c>
      <c r="D5" s="43" t="s">
        <v>21</v>
      </c>
      <c r="E5" s="43" t="s">
        <v>22</v>
      </c>
      <c r="F5" s="42">
        <v>2016</v>
      </c>
      <c r="G5" s="66" t="s">
        <v>32</v>
      </c>
      <c r="H5" s="66" t="s">
        <v>32</v>
      </c>
      <c r="I5" s="41">
        <v>4</v>
      </c>
      <c r="J5" s="41" t="s">
        <v>32</v>
      </c>
      <c r="K5" s="41" t="s">
        <v>26</v>
      </c>
      <c r="L5" s="41" t="s">
        <v>27</v>
      </c>
      <c r="M5" s="67" t="s">
        <v>176</v>
      </c>
      <c r="N5" s="43" t="s">
        <v>177</v>
      </c>
      <c r="O5" s="43" t="s">
        <v>32</v>
      </c>
      <c r="P5" s="41" t="s">
        <v>140</v>
      </c>
      <c r="Q5" s="41"/>
      <c r="R5" s="41" t="s">
        <v>33</v>
      </c>
    </row>
    <row r="6" spans="1:18" x14ac:dyDescent="0.2">
      <c r="A6" s="41" t="s">
        <v>220</v>
      </c>
      <c r="B6" s="41">
        <v>166788</v>
      </c>
      <c r="C6" s="48" t="s">
        <v>20</v>
      </c>
      <c r="D6" s="48" t="s">
        <v>21</v>
      </c>
      <c r="E6" s="48" t="s">
        <v>22</v>
      </c>
      <c r="F6" s="49">
        <v>2022</v>
      </c>
      <c r="G6" s="49">
        <v>67</v>
      </c>
      <c r="H6" s="41"/>
      <c r="I6" s="41" t="s">
        <v>32</v>
      </c>
      <c r="J6" s="41">
        <v>3</v>
      </c>
      <c r="K6" s="41" t="s">
        <v>26</v>
      </c>
      <c r="L6" s="41" t="s">
        <v>209</v>
      </c>
      <c r="M6" s="48" t="s">
        <v>28</v>
      </c>
      <c r="N6" s="48" t="s">
        <v>221</v>
      </c>
      <c r="O6" s="49">
        <v>2022</v>
      </c>
      <c r="P6" s="41" t="s">
        <v>181</v>
      </c>
      <c r="R6" t="s">
        <v>33</v>
      </c>
    </row>
    <row r="7" spans="1:18" ht="16" customHeight="1" x14ac:dyDescent="0.2">
      <c r="A7" s="41" t="s">
        <v>222</v>
      </c>
      <c r="B7" s="41" t="s">
        <v>223</v>
      </c>
      <c r="C7" s="46" t="s">
        <v>20</v>
      </c>
      <c r="D7" s="46" t="s">
        <v>106</v>
      </c>
      <c r="E7" s="46" t="s">
        <v>107</v>
      </c>
      <c r="F7" s="50">
        <v>2021</v>
      </c>
      <c r="G7" s="46">
        <v>59</v>
      </c>
      <c r="H7" s="41" t="s">
        <v>35</v>
      </c>
      <c r="I7" s="41" t="s">
        <v>224</v>
      </c>
      <c r="J7" s="41" t="s">
        <v>32</v>
      </c>
      <c r="K7" s="41" t="s">
        <v>26</v>
      </c>
      <c r="L7" s="41" t="s">
        <v>27</v>
      </c>
      <c r="M7" s="51" t="s">
        <v>180</v>
      </c>
      <c r="N7" s="52" t="s">
        <v>225</v>
      </c>
      <c r="O7" s="52" t="s">
        <v>32</v>
      </c>
      <c r="P7" s="41" t="s">
        <v>181</v>
      </c>
      <c r="Q7" s="51" t="s">
        <v>226</v>
      </c>
    </row>
    <row r="8" spans="1:18" ht="16" customHeight="1" x14ac:dyDescent="0.2">
      <c r="A8" s="41" t="s">
        <v>227</v>
      </c>
      <c r="B8" s="41" t="s">
        <v>228</v>
      </c>
      <c r="C8" s="53" t="s">
        <v>20</v>
      </c>
      <c r="D8" s="53" t="s">
        <v>106</v>
      </c>
      <c r="E8" s="53" t="s">
        <v>107</v>
      </c>
      <c r="F8" s="41">
        <v>2021</v>
      </c>
      <c r="G8" s="53">
        <v>51</v>
      </c>
      <c r="H8" s="41" t="s">
        <v>35</v>
      </c>
      <c r="I8" s="41" t="s">
        <v>54</v>
      </c>
      <c r="J8" s="41" t="s">
        <v>32</v>
      </c>
      <c r="K8" s="41" t="s">
        <v>26</v>
      </c>
      <c r="L8" s="41" t="s">
        <v>27</v>
      </c>
      <c r="M8" s="54" t="s">
        <v>180</v>
      </c>
      <c r="N8" s="45" t="s">
        <v>225</v>
      </c>
      <c r="O8" s="45" t="s">
        <v>32</v>
      </c>
      <c r="P8" s="41" t="s">
        <v>181</v>
      </c>
      <c r="Q8" s="55" t="s">
        <v>229</v>
      </c>
    </row>
    <row r="9" spans="1:18" s="41" customFormat="1" x14ac:dyDescent="0.2">
      <c r="A9" s="41" t="s">
        <v>253</v>
      </c>
      <c r="B9" s="41">
        <v>161703</v>
      </c>
      <c r="C9" s="41" t="s">
        <v>20</v>
      </c>
      <c r="D9" s="41" t="s">
        <v>21</v>
      </c>
      <c r="E9" s="41" t="s">
        <v>22</v>
      </c>
      <c r="F9" s="41">
        <v>2020</v>
      </c>
      <c r="G9" s="41">
        <v>68</v>
      </c>
      <c r="H9" s="41" t="s">
        <v>23</v>
      </c>
      <c r="I9" s="41" t="s">
        <v>25</v>
      </c>
      <c r="J9" s="41" t="s">
        <v>25</v>
      </c>
      <c r="K9" s="41" t="s">
        <v>26</v>
      </c>
      <c r="L9" s="41" t="s">
        <v>27</v>
      </c>
      <c r="M9" s="48" t="s">
        <v>28</v>
      </c>
      <c r="N9" s="41" t="s">
        <v>231</v>
      </c>
      <c r="O9" s="41">
        <v>2020</v>
      </c>
      <c r="P9" s="41" t="s">
        <v>232</v>
      </c>
      <c r="R9" s="41" t="s">
        <v>33</v>
      </c>
    </row>
    <row r="10" spans="1:18" s="41" customFormat="1" x14ac:dyDescent="0.2">
      <c r="A10" s="41" t="s">
        <v>254</v>
      </c>
      <c r="B10" s="41">
        <v>163251</v>
      </c>
      <c r="C10" s="41" t="s">
        <v>20</v>
      </c>
      <c r="D10" s="41" t="s">
        <v>41</v>
      </c>
      <c r="E10" s="41" t="s">
        <v>22</v>
      </c>
      <c r="F10" s="41">
        <v>2021</v>
      </c>
      <c r="G10" s="41">
        <v>57</v>
      </c>
      <c r="H10" s="41" t="s">
        <v>35</v>
      </c>
      <c r="I10" s="41" t="s">
        <v>25</v>
      </c>
      <c r="J10" s="41" t="s">
        <v>54</v>
      </c>
      <c r="K10" s="41" t="s">
        <v>26</v>
      </c>
      <c r="L10" s="41" t="s">
        <v>27</v>
      </c>
      <c r="M10" s="48" t="s">
        <v>28</v>
      </c>
      <c r="N10" s="41" t="s">
        <v>231</v>
      </c>
      <c r="O10" s="41">
        <v>2020</v>
      </c>
      <c r="P10" s="41" t="s">
        <v>232</v>
      </c>
      <c r="R10" s="41" t="s">
        <v>33</v>
      </c>
    </row>
    <row r="11" spans="1:18" s="41" customFormat="1" x14ac:dyDescent="0.2">
      <c r="A11" s="41" t="s">
        <v>255</v>
      </c>
      <c r="B11" s="41">
        <v>163329</v>
      </c>
      <c r="C11" s="41" t="s">
        <v>20</v>
      </c>
      <c r="D11" s="41" t="s">
        <v>41</v>
      </c>
      <c r="E11" s="41" t="s">
        <v>22</v>
      </c>
      <c r="F11" s="41">
        <v>2021</v>
      </c>
      <c r="G11" s="41">
        <v>56</v>
      </c>
      <c r="H11" s="41" t="s">
        <v>35</v>
      </c>
      <c r="I11" s="41" t="s">
        <v>25</v>
      </c>
      <c r="J11" s="41" t="s">
        <v>54</v>
      </c>
      <c r="K11" s="41" t="s">
        <v>26</v>
      </c>
      <c r="L11" s="41" t="s">
        <v>27</v>
      </c>
      <c r="M11" s="48" t="s">
        <v>28</v>
      </c>
      <c r="N11" s="41" t="s">
        <v>231</v>
      </c>
      <c r="O11" s="41">
        <v>2021</v>
      </c>
      <c r="P11" s="41" t="s">
        <v>232</v>
      </c>
      <c r="R11" s="41" t="s">
        <v>33</v>
      </c>
    </row>
    <row r="12" spans="1:18" x14ac:dyDescent="0.2">
      <c r="A12" s="41" t="s">
        <v>290</v>
      </c>
      <c r="B12" t="s">
        <v>32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s="41" t="s">
        <v>293</v>
      </c>
    </row>
    <row r="13" spans="1:18" x14ac:dyDescent="0.2">
      <c r="A13" s="41" t="s">
        <v>286</v>
      </c>
      <c r="B13" s="41">
        <v>217084</v>
      </c>
      <c r="C13" s="41" t="s">
        <v>20</v>
      </c>
      <c r="D13" s="41" t="s">
        <v>21</v>
      </c>
      <c r="E13" s="41" t="s">
        <v>32</v>
      </c>
      <c r="F13" s="41">
        <v>2019</v>
      </c>
      <c r="G13" s="41">
        <v>69</v>
      </c>
      <c r="H13" s="41" t="s">
        <v>23</v>
      </c>
      <c r="I13" s="41">
        <v>1</v>
      </c>
      <c r="J13" s="41" t="s">
        <v>280</v>
      </c>
      <c r="K13" s="41" t="s">
        <v>26</v>
      </c>
      <c r="L13" s="41" t="s">
        <v>259</v>
      </c>
      <c r="M13" s="41" t="s">
        <v>28</v>
      </c>
      <c r="N13" s="41" t="s">
        <v>231</v>
      </c>
      <c r="O13" s="41">
        <v>2014</v>
      </c>
      <c r="P13" s="41" t="s">
        <v>232</v>
      </c>
      <c r="Q13" s="41" t="s">
        <v>32</v>
      </c>
      <c r="R13" s="41" t="s">
        <v>261</v>
      </c>
    </row>
    <row r="14" spans="1:18" x14ac:dyDescent="0.2">
      <c r="A14" s="41" t="s">
        <v>287</v>
      </c>
      <c r="B14" s="41">
        <v>217220</v>
      </c>
      <c r="C14" s="41" t="s">
        <v>20</v>
      </c>
      <c r="D14" s="41" t="s">
        <v>21</v>
      </c>
      <c r="E14" s="41" t="s">
        <v>32</v>
      </c>
      <c r="F14" s="41">
        <v>2019</v>
      </c>
      <c r="G14" s="41">
        <v>75</v>
      </c>
      <c r="H14" s="41" t="s">
        <v>46</v>
      </c>
      <c r="I14" s="41">
        <v>3</v>
      </c>
      <c r="J14" s="41" t="s">
        <v>270</v>
      </c>
      <c r="K14" s="41" t="s">
        <v>26</v>
      </c>
      <c r="L14" s="41" t="s">
        <v>259</v>
      </c>
      <c r="M14" s="41" t="s">
        <v>28</v>
      </c>
      <c r="N14" s="41" t="s">
        <v>231</v>
      </c>
      <c r="O14" s="41">
        <v>2018</v>
      </c>
      <c r="P14" s="41" t="s">
        <v>232</v>
      </c>
      <c r="Q14" s="41" t="s">
        <v>32</v>
      </c>
      <c r="R14" s="41" t="s">
        <v>261</v>
      </c>
    </row>
    <row r="15" spans="1:18" x14ac:dyDescent="0.2">
      <c r="A15" s="41" t="s">
        <v>288</v>
      </c>
      <c r="B15" s="41">
        <v>217473</v>
      </c>
      <c r="C15" s="41" t="s">
        <v>20</v>
      </c>
      <c r="D15" s="41" t="s">
        <v>21</v>
      </c>
      <c r="E15" s="41" t="s">
        <v>32</v>
      </c>
      <c r="F15" s="41">
        <v>2019</v>
      </c>
      <c r="G15" s="41">
        <v>57</v>
      </c>
      <c r="H15" s="41" t="s">
        <v>35</v>
      </c>
      <c r="I15" s="41">
        <v>2</v>
      </c>
      <c r="J15" s="41" t="s">
        <v>258</v>
      </c>
      <c r="K15" s="41" t="s">
        <v>26</v>
      </c>
      <c r="L15" s="41" t="s">
        <v>259</v>
      </c>
      <c r="M15" s="41" t="s">
        <v>28</v>
      </c>
      <c r="N15" s="41" t="s">
        <v>231</v>
      </c>
      <c r="O15" s="41">
        <v>2018</v>
      </c>
      <c r="P15" s="41" t="s">
        <v>232</v>
      </c>
      <c r="Q15" s="41" t="s">
        <v>32</v>
      </c>
      <c r="R15" s="41" t="s">
        <v>261</v>
      </c>
    </row>
    <row r="16" spans="1:18" x14ac:dyDescent="0.2">
      <c r="A16" s="41" t="s">
        <v>289</v>
      </c>
      <c r="B16" s="41">
        <v>218156</v>
      </c>
      <c r="C16" s="41" t="s">
        <v>20</v>
      </c>
      <c r="D16" s="41" t="s">
        <v>21</v>
      </c>
      <c r="E16" s="41" t="s">
        <v>32</v>
      </c>
      <c r="F16" s="41">
        <v>2019</v>
      </c>
      <c r="G16" s="41">
        <v>66</v>
      </c>
      <c r="H16" s="41" t="s">
        <v>23</v>
      </c>
      <c r="I16" s="41">
        <v>1</v>
      </c>
      <c r="J16" s="41" t="s">
        <v>267</v>
      </c>
      <c r="K16" s="41" t="s">
        <v>26</v>
      </c>
      <c r="L16" s="41" t="s">
        <v>259</v>
      </c>
      <c r="M16" s="41" t="s">
        <v>28</v>
      </c>
      <c r="N16" s="41" t="s">
        <v>231</v>
      </c>
      <c r="O16" s="41">
        <v>2016</v>
      </c>
      <c r="P16" s="41" t="s">
        <v>232</v>
      </c>
      <c r="Q16" s="41" t="s">
        <v>32</v>
      </c>
      <c r="R16" s="41" t="s">
        <v>261</v>
      </c>
    </row>
    <row r="19" spans="1:43" s="40" customFormat="1" ht="81.7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43" s="12" customFormat="1" ht="20" customHeight="1" x14ac:dyDescent="0.15">
      <c r="A20" s="3"/>
      <c r="B20" s="5"/>
      <c r="C20" s="5"/>
      <c r="D20" s="3"/>
      <c r="E20" s="3"/>
      <c r="F20" s="3"/>
      <c r="G20" s="4"/>
      <c r="H20" s="4"/>
      <c r="I20" s="4"/>
      <c r="J20" s="4"/>
      <c r="K20" s="4"/>
      <c r="L20" s="3"/>
      <c r="M20" s="3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3"/>
      <c r="AG20" s="5"/>
    </row>
    <row r="22" spans="1:43" ht="60" customHeight="1" x14ac:dyDescent="0.2">
      <c r="A22" s="37"/>
      <c r="B22" s="38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</row>
    <row r="23" spans="1:43" ht="15" customHeight="1" x14ac:dyDescent="0.2">
      <c r="A23" s="33"/>
      <c r="B23" s="34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5"/>
      <c r="V23" s="33"/>
      <c r="W23" s="33"/>
      <c r="X23" s="33"/>
      <c r="Y23" s="36"/>
      <c r="Z23" s="36"/>
      <c r="AA23" s="36"/>
      <c r="AB23" s="36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</row>
    <row r="24" spans="1:43" ht="15" customHeight="1" x14ac:dyDescent="0.2">
      <c r="A24" s="33"/>
      <c r="B24" s="34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6"/>
      <c r="Z24" s="36"/>
      <c r="AA24" s="36"/>
      <c r="AB24" s="36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</row>
    <row r="25" spans="1:43" s="12" customFormat="1" ht="24" customHeight="1" x14ac:dyDescent="0.15">
      <c r="A25" s="13"/>
      <c r="B25" s="13"/>
      <c r="C25" s="13"/>
      <c r="D25" s="13"/>
      <c r="E25" s="13"/>
      <c r="F25" s="13"/>
      <c r="I25" s="13"/>
      <c r="J25" s="13"/>
      <c r="K25" s="13"/>
      <c r="L25" s="11"/>
      <c r="M25" s="13"/>
      <c r="N25" s="11"/>
      <c r="O25" s="13"/>
      <c r="P25" s="13"/>
      <c r="Q25" s="13"/>
      <c r="R25" s="13"/>
      <c r="S25" s="13"/>
      <c r="T25" s="13"/>
    </row>
    <row r="26" spans="1:43" s="12" customFormat="1" ht="19.75" customHeight="1" x14ac:dyDescent="0.15">
      <c r="A26" s="3"/>
      <c r="B26" s="4"/>
      <c r="C26" s="4"/>
      <c r="D26" s="4"/>
      <c r="E26" s="5"/>
      <c r="F26" s="3"/>
      <c r="G26" s="10"/>
      <c r="H26" s="3"/>
      <c r="I26" s="4"/>
      <c r="J26" s="4"/>
      <c r="K26" s="4"/>
      <c r="L26" s="11"/>
      <c r="M26" s="4"/>
      <c r="N26" s="11"/>
      <c r="O26" s="4"/>
      <c r="P26" s="4"/>
      <c r="Q26" s="4"/>
      <c r="R26" s="4"/>
      <c r="S26" s="4"/>
      <c r="T26" s="4"/>
    </row>
    <row r="27" spans="1:43" x14ac:dyDescent="0.2">
      <c r="A27" s="3"/>
      <c r="B27" s="4"/>
      <c r="C27" s="4"/>
      <c r="D27" s="4"/>
      <c r="E27" s="4"/>
      <c r="F27" s="3"/>
      <c r="G27" s="3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3"/>
      <c r="AB27" s="5"/>
    </row>
    <row r="28" spans="1:43" ht="80" customHeight="1" x14ac:dyDescent="0.2">
      <c r="A28" s="14"/>
      <c r="B28" s="14"/>
      <c r="C28" s="15"/>
      <c r="D28" s="16"/>
      <c r="E28" s="17"/>
      <c r="F28" s="18"/>
      <c r="G28" s="19"/>
      <c r="H28" s="19"/>
      <c r="I28" s="19"/>
      <c r="J28" s="19"/>
      <c r="K28" s="20"/>
      <c r="L28" s="19"/>
      <c r="M28" s="20"/>
      <c r="N28" s="21"/>
      <c r="O28" s="22"/>
      <c r="P28" s="23"/>
      <c r="Q28" s="23"/>
      <c r="R28" s="23"/>
      <c r="S28" s="23"/>
      <c r="T28" s="23"/>
      <c r="U28" s="23"/>
      <c r="V28" s="24"/>
      <c r="W28" s="25"/>
      <c r="X28" s="25"/>
      <c r="Y28" s="25"/>
    </row>
    <row r="29" spans="1:43" ht="14.25" customHeight="1" x14ac:dyDescent="0.2">
      <c r="A29" s="26"/>
      <c r="B29" s="26"/>
      <c r="C29" s="26"/>
      <c r="D29" s="27"/>
      <c r="E29" s="28"/>
      <c r="F29" s="26"/>
      <c r="G29" s="26"/>
      <c r="H29" s="29"/>
      <c r="I29" s="29"/>
      <c r="J29" s="29"/>
      <c r="K29" s="26"/>
      <c r="L29" s="26"/>
      <c r="M29" s="26"/>
      <c r="N29" s="28"/>
      <c r="O29" s="26"/>
      <c r="P29" s="30"/>
      <c r="Q29" s="31"/>
      <c r="R29" s="31"/>
      <c r="S29" s="32"/>
      <c r="T29" s="32"/>
      <c r="U29" s="32"/>
      <c r="V29" s="32"/>
    </row>
  </sheetData>
  <conditionalFormatting sqref="A25">
    <cfRule type="duplicateValues" dxfId="1" priority="1"/>
  </conditionalFormatting>
  <conditionalFormatting sqref="A26">
    <cfRule type="duplicateValues" dxfId="0" priority="2"/>
  </conditionalFormatting>
  <dataValidations count="1">
    <dataValidation type="custom" allowBlank="1" showDropDown="1" showErrorMessage="1" sqref="E29 N29" xr:uid="{00000000-0002-0000-0100-000000000000}">
      <formula1>OR(NOT(ISERROR(DATEVALUE(E29))), AND(ISNUMBER(E29), LEFT(CELL("format", E29))="D"))</formula1>
    </dataValidation>
  </dataValidation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4"/>
  <sheetViews>
    <sheetView zoomScale="120" zoomScaleNormal="120" workbookViewId="0">
      <selection activeCell="A30" sqref="A30:B34"/>
    </sheetView>
  </sheetViews>
  <sheetFormatPr baseColWidth="10" defaultRowHeight="15" x14ac:dyDescent="0.2"/>
  <sheetData>
    <row r="1" spans="1:2" x14ac:dyDescent="0.2">
      <c r="A1" s="41" t="s">
        <v>440</v>
      </c>
      <c r="B1" s="41"/>
    </row>
    <row r="2" spans="1:2" x14ac:dyDescent="0.2">
      <c r="A2" s="41" t="s">
        <v>441</v>
      </c>
      <c r="B2" s="41"/>
    </row>
    <row r="3" spans="1:2" x14ac:dyDescent="0.2">
      <c r="A3" s="41" t="s">
        <v>442</v>
      </c>
      <c r="B3" s="41"/>
    </row>
    <row r="4" spans="1:2" x14ac:dyDescent="0.2">
      <c r="A4" s="41" t="s">
        <v>443</v>
      </c>
      <c r="B4" s="41"/>
    </row>
    <row r="5" spans="1:2" x14ac:dyDescent="0.2">
      <c r="A5" s="41" t="s">
        <v>444</v>
      </c>
      <c r="B5" s="41"/>
    </row>
    <row r="6" spans="1:2" x14ac:dyDescent="0.2">
      <c r="A6" s="41" t="s">
        <v>445</v>
      </c>
      <c r="B6" s="41"/>
    </row>
    <row r="7" spans="1:2" x14ac:dyDescent="0.2">
      <c r="A7" s="41" t="s">
        <v>446</v>
      </c>
      <c r="B7" s="41"/>
    </row>
    <row r="8" spans="1:2" x14ac:dyDescent="0.2">
      <c r="A8" s="41" t="s">
        <v>447</v>
      </c>
      <c r="B8" s="41"/>
    </row>
    <row r="9" spans="1:2" x14ac:dyDescent="0.2">
      <c r="A9" s="41" t="s">
        <v>448</v>
      </c>
      <c r="B9" s="41"/>
    </row>
    <row r="10" spans="1:2" x14ac:dyDescent="0.2">
      <c r="A10" s="41" t="s">
        <v>449</v>
      </c>
      <c r="B10" s="41"/>
    </row>
    <row r="11" spans="1:2" x14ac:dyDescent="0.2">
      <c r="A11" s="41" t="s">
        <v>450</v>
      </c>
      <c r="B11" s="41"/>
    </row>
    <row r="12" spans="1:2" x14ac:dyDescent="0.2">
      <c r="A12" s="41" t="s">
        <v>451</v>
      </c>
      <c r="B12" s="41"/>
    </row>
    <row r="13" spans="1:2" x14ac:dyDescent="0.2">
      <c r="A13" s="41" t="s">
        <v>452</v>
      </c>
      <c r="B13" s="41"/>
    </row>
    <row r="14" spans="1:2" x14ac:dyDescent="0.2">
      <c r="A14" s="41" t="s">
        <v>453</v>
      </c>
      <c r="B14" s="41"/>
    </row>
    <row r="15" spans="1:2" x14ac:dyDescent="0.2">
      <c r="A15" s="41" t="s">
        <v>454</v>
      </c>
      <c r="B15" s="41"/>
    </row>
    <row r="16" spans="1:2" x14ac:dyDescent="0.2">
      <c r="A16" s="41" t="s">
        <v>455</v>
      </c>
      <c r="B16" s="41"/>
    </row>
    <row r="17" spans="1:3" x14ac:dyDescent="0.2">
      <c r="A17" s="41" t="s">
        <v>456</v>
      </c>
      <c r="B17" s="41"/>
    </row>
    <row r="18" spans="1:3" x14ac:dyDescent="0.2">
      <c r="A18" s="41" t="s">
        <v>457</v>
      </c>
      <c r="B18" s="41"/>
    </row>
    <row r="19" spans="1:3" x14ac:dyDescent="0.2">
      <c r="A19" s="41" t="s">
        <v>458</v>
      </c>
      <c r="B19" s="41"/>
    </row>
    <row r="20" spans="1:3" x14ac:dyDescent="0.2">
      <c r="A20" s="41" t="s">
        <v>459</v>
      </c>
      <c r="B20" s="41"/>
      <c r="C20" s="41">
        <v>217084</v>
      </c>
    </row>
    <row r="21" spans="1:3" x14ac:dyDescent="0.2">
      <c r="A21" s="41" t="s">
        <v>460</v>
      </c>
      <c r="B21" s="41"/>
      <c r="C21" s="41">
        <v>217220</v>
      </c>
    </row>
    <row r="22" spans="1:3" x14ac:dyDescent="0.2">
      <c r="A22" s="41" t="s">
        <v>461</v>
      </c>
      <c r="B22" s="41"/>
      <c r="C22" s="41">
        <v>217473</v>
      </c>
    </row>
    <row r="23" spans="1:3" x14ac:dyDescent="0.2">
      <c r="A23" s="41" t="s">
        <v>462</v>
      </c>
      <c r="B23" s="41"/>
      <c r="C23" s="41">
        <v>218156</v>
      </c>
    </row>
    <row r="24" spans="1:3" x14ac:dyDescent="0.2">
      <c r="A24" s="41" t="s">
        <v>463</v>
      </c>
      <c r="B24" s="41"/>
    </row>
    <row r="25" spans="1:3" x14ac:dyDescent="0.2">
      <c r="A25" s="41" t="s">
        <v>464</v>
      </c>
      <c r="B25" s="41"/>
    </row>
    <row r="26" spans="1:3" x14ac:dyDescent="0.2">
      <c r="A26" s="41" t="s">
        <v>465</v>
      </c>
      <c r="B26" s="41"/>
    </row>
    <row r="27" spans="1:3" x14ac:dyDescent="0.2">
      <c r="A27" s="41" t="s">
        <v>466</v>
      </c>
      <c r="B27" s="41"/>
    </row>
    <row r="28" spans="1:3" x14ac:dyDescent="0.2">
      <c r="A28" s="41" t="s">
        <v>467</v>
      </c>
      <c r="B28" s="41"/>
    </row>
    <row r="29" spans="1:3" x14ac:dyDescent="0.2">
      <c r="A29" t="s">
        <v>468</v>
      </c>
    </row>
    <row r="30" spans="1:3" x14ac:dyDescent="0.2">
      <c r="A30" s="41" t="s">
        <v>469</v>
      </c>
      <c r="B30" s="41"/>
    </row>
    <row r="31" spans="1:3" x14ac:dyDescent="0.2">
      <c r="A31" s="41" t="s">
        <v>470</v>
      </c>
      <c r="B31" s="41"/>
    </row>
    <row r="32" spans="1:3" x14ac:dyDescent="0.2">
      <c r="A32" s="41" t="s">
        <v>471</v>
      </c>
      <c r="B32" s="41"/>
    </row>
    <row r="33" spans="1:2" x14ac:dyDescent="0.2">
      <c r="A33" s="41" t="s">
        <v>472</v>
      </c>
      <c r="B33" s="41"/>
    </row>
    <row r="34" spans="1:2" x14ac:dyDescent="0.2">
      <c r="A34" s="41" t="s">
        <v>473</v>
      </c>
      <c r="B34" s="41"/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M14"/>
  <sheetViews>
    <sheetView zoomScale="120" zoomScaleNormal="120" workbookViewId="0">
      <selection activeCell="A14" sqref="A14:XFD14"/>
    </sheetView>
  </sheetViews>
  <sheetFormatPr baseColWidth="10" defaultColWidth="14.5" defaultRowHeight="15" x14ac:dyDescent="0.2"/>
  <cols>
    <col min="1" max="1" width="7.1640625" bestFit="1" customWidth="1"/>
    <col min="3" max="3" width="15.1640625" bestFit="1" customWidth="1"/>
    <col min="4" max="4" width="17" bestFit="1" customWidth="1"/>
    <col min="5" max="5" width="15.83203125" customWidth="1"/>
    <col min="6" max="6" width="13.6640625" bestFit="1" customWidth="1"/>
    <col min="7" max="7" width="14.83203125" bestFit="1" customWidth="1"/>
    <col min="8" max="8" width="19" bestFit="1" customWidth="1"/>
    <col min="9" max="9" width="13.5" bestFit="1" customWidth="1"/>
    <col min="10" max="11" width="14.33203125" bestFit="1" customWidth="1"/>
    <col min="12" max="13" width="16.1640625" bestFit="1" customWidth="1"/>
    <col min="14" max="14" width="16" bestFit="1" customWidth="1"/>
    <col min="15" max="15" width="8.6640625" customWidth="1"/>
    <col min="16" max="16" width="11.5" bestFit="1" customWidth="1"/>
    <col min="17" max="17" width="9.5" customWidth="1"/>
    <col min="18" max="18" width="12.83203125" bestFit="1" customWidth="1"/>
    <col min="19" max="19" width="11.5" bestFit="1" customWidth="1"/>
    <col min="20" max="20" width="12" bestFit="1" customWidth="1"/>
    <col min="21" max="21" width="19.83203125" bestFit="1" customWidth="1"/>
    <col min="22" max="22" width="16.5" bestFit="1" customWidth="1"/>
    <col min="23" max="23" width="22.1640625" bestFit="1" customWidth="1"/>
    <col min="24" max="24" width="6.5" bestFit="1" customWidth="1"/>
    <col min="25" max="25" width="6.83203125" bestFit="1" customWidth="1"/>
    <col min="26" max="26" width="7.1640625" bestFit="1" customWidth="1"/>
    <col min="27" max="27" width="6.6640625" bestFit="1" customWidth="1"/>
    <col min="28" max="28" width="10.1640625" bestFit="1" customWidth="1"/>
    <col min="29" max="29" width="55.5" bestFit="1" customWidth="1"/>
    <col min="30" max="30" width="15.33203125" bestFit="1" customWidth="1"/>
    <col min="31" max="31" width="10.1640625" bestFit="1" customWidth="1"/>
    <col min="33" max="33" width="13.6640625" bestFit="1" customWidth="1"/>
    <col min="34" max="34" width="12.83203125" bestFit="1" customWidth="1"/>
    <col min="35" max="35" width="12.1640625" bestFit="1" customWidth="1"/>
    <col min="36" max="36" width="16" bestFit="1" customWidth="1"/>
    <col min="37" max="37" width="15.1640625" bestFit="1" customWidth="1"/>
    <col min="38" max="38" width="14.33203125" bestFit="1" customWidth="1"/>
    <col min="39" max="39" width="12" bestFit="1" customWidth="1"/>
    <col min="40" max="40" width="16" bestFit="1" customWidth="1"/>
    <col min="41" max="41" width="15.1640625" bestFit="1" customWidth="1"/>
    <col min="42" max="42" width="14.33203125" bestFit="1" customWidth="1"/>
    <col min="43" max="43" width="10.83203125" bestFit="1" customWidth="1"/>
    <col min="44" max="44" width="16" bestFit="1" customWidth="1"/>
    <col min="45" max="45" width="15.1640625" bestFit="1" customWidth="1"/>
    <col min="46" max="46" width="14.33203125" bestFit="1" customWidth="1"/>
    <col min="47" max="47" width="10.83203125" bestFit="1" customWidth="1"/>
    <col min="48" max="48" width="16" bestFit="1" customWidth="1"/>
    <col min="49" max="49" width="15.1640625" bestFit="1" customWidth="1"/>
    <col min="50" max="50" width="14.33203125" bestFit="1" customWidth="1"/>
    <col min="51" max="51" width="11.5" bestFit="1" customWidth="1"/>
    <col min="52" max="52" width="16" bestFit="1" customWidth="1"/>
    <col min="53" max="53" width="15.1640625" bestFit="1" customWidth="1"/>
    <col min="54" max="54" width="14.33203125" bestFit="1" customWidth="1"/>
    <col min="55" max="55" width="16.1640625" bestFit="1" customWidth="1"/>
    <col min="56" max="56" width="16" bestFit="1" customWidth="1"/>
    <col min="57" max="57" width="15.1640625" bestFit="1" customWidth="1"/>
    <col min="58" max="58" width="14.33203125" bestFit="1" customWidth="1"/>
    <col min="59" max="59" width="8.5" bestFit="1" customWidth="1"/>
    <col min="60" max="61" width="10.33203125" bestFit="1" customWidth="1"/>
  </cols>
  <sheetData>
    <row r="1" spans="1:65" ht="14.25" customHeight="1" x14ac:dyDescent="0.2">
      <c r="A1" s="111"/>
      <c r="B1" s="107"/>
      <c r="C1" s="107"/>
      <c r="D1" s="107"/>
      <c r="E1" s="107"/>
      <c r="F1" s="107"/>
      <c r="G1" s="112" t="s">
        <v>474</v>
      </c>
      <c r="H1" s="107"/>
      <c r="I1" s="107"/>
      <c r="J1" s="107"/>
      <c r="K1" s="107"/>
      <c r="L1" s="107"/>
      <c r="M1" s="107"/>
      <c r="N1" s="107"/>
      <c r="O1" s="106" t="s">
        <v>475</v>
      </c>
      <c r="P1" s="107"/>
      <c r="Q1" s="107"/>
      <c r="R1" s="107"/>
      <c r="S1" s="107"/>
      <c r="T1" s="107"/>
      <c r="U1" s="80" t="s">
        <v>476</v>
      </c>
      <c r="V1" s="81"/>
      <c r="W1" s="80"/>
      <c r="X1" s="108" t="s">
        <v>477</v>
      </c>
      <c r="Y1" s="107"/>
      <c r="Z1" s="107"/>
      <c r="AA1" s="107"/>
      <c r="AB1" s="109"/>
      <c r="AC1" s="82" t="s">
        <v>478</v>
      </c>
      <c r="AD1" s="83" t="s">
        <v>479</v>
      </c>
      <c r="AE1" s="113" t="s">
        <v>480</v>
      </c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9"/>
      <c r="BG1" s="110" t="s">
        <v>481</v>
      </c>
      <c r="BH1" s="107"/>
      <c r="BI1" s="109"/>
    </row>
    <row r="2" spans="1:65" ht="80" customHeight="1" x14ac:dyDescent="0.2">
      <c r="A2" s="68" t="s">
        <v>482</v>
      </c>
      <c r="B2" s="14" t="s">
        <v>483</v>
      </c>
      <c r="C2" s="14" t="s">
        <v>484</v>
      </c>
      <c r="D2" s="15" t="s">
        <v>485</v>
      </c>
      <c r="E2" s="14" t="s">
        <v>486</v>
      </c>
      <c r="F2" s="16" t="s">
        <v>487</v>
      </c>
      <c r="G2" s="17" t="s">
        <v>488</v>
      </c>
      <c r="H2" s="17" t="s">
        <v>489</v>
      </c>
      <c r="I2" s="17" t="s">
        <v>490</v>
      </c>
      <c r="J2" s="17" t="s">
        <v>491</v>
      </c>
      <c r="K2" s="17" t="s">
        <v>492</v>
      </c>
      <c r="L2" s="69" t="s">
        <v>493</v>
      </c>
      <c r="M2" s="69" t="s">
        <v>494</v>
      </c>
      <c r="N2" s="69" t="s">
        <v>495</v>
      </c>
      <c r="O2" s="18" t="s">
        <v>6</v>
      </c>
      <c r="P2" s="19" t="s">
        <v>496</v>
      </c>
      <c r="Q2" s="19" t="s">
        <v>3</v>
      </c>
      <c r="R2" s="19" t="s">
        <v>4</v>
      </c>
      <c r="S2" s="20" t="s">
        <v>497</v>
      </c>
      <c r="T2" s="19" t="s">
        <v>498</v>
      </c>
      <c r="U2" s="20" t="s">
        <v>499</v>
      </c>
      <c r="V2" s="21" t="s">
        <v>500</v>
      </c>
      <c r="W2" s="22" t="s">
        <v>501</v>
      </c>
      <c r="X2" s="23" t="s">
        <v>502</v>
      </c>
      <c r="Y2" s="23" t="s">
        <v>503</v>
      </c>
      <c r="Z2" s="23" t="s">
        <v>504</v>
      </c>
      <c r="AA2" s="23" t="s">
        <v>505</v>
      </c>
      <c r="AB2" s="23" t="s">
        <v>506</v>
      </c>
      <c r="AC2" s="24"/>
      <c r="AD2" s="70"/>
      <c r="AE2" s="71" t="s">
        <v>507</v>
      </c>
      <c r="AF2" s="71" t="s">
        <v>508</v>
      </c>
      <c r="AG2" s="71" t="s">
        <v>509</v>
      </c>
      <c r="AH2" s="71" t="s">
        <v>510</v>
      </c>
      <c r="AI2" s="71" t="s">
        <v>511</v>
      </c>
      <c r="AJ2" s="71" t="s">
        <v>512</v>
      </c>
      <c r="AK2" s="71" t="s">
        <v>513</v>
      </c>
      <c r="AL2" s="71" t="s">
        <v>514</v>
      </c>
      <c r="AM2" s="71" t="s">
        <v>515</v>
      </c>
      <c r="AN2" s="71" t="s">
        <v>516</v>
      </c>
      <c r="AO2" s="71" t="s">
        <v>517</v>
      </c>
      <c r="AP2" s="71" t="s">
        <v>518</v>
      </c>
      <c r="AQ2" s="71" t="s">
        <v>519</v>
      </c>
      <c r="AR2" s="71" t="s">
        <v>520</v>
      </c>
      <c r="AS2" s="71" t="s">
        <v>521</v>
      </c>
      <c r="AT2" s="71" t="s">
        <v>522</v>
      </c>
      <c r="AU2" s="71" t="s">
        <v>523</v>
      </c>
      <c r="AV2" s="71" t="s">
        <v>524</v>
      </c>
      <c r="AW2" s="71" t="s">
        <v>525</v>
      </c>
      <c r="AX2" s="71" t="s">
        <v>526</v>
      </c>
      <c r="AY2" s="71" t="s">
        <v>527</v>
      </c>
      <c r="AZ2" s="71" t="s">
        <v>528</v>
      </c>
      <c r="BA2" s="71" t="s">
        <v>529</v>
      </c>
      <c r="BB2" s="71" t="s">
        <v>530</v>
      </c>
      <c r="BC2" s="71" t="s">
        <v>531</v>
      </c>
      <c r="BD2" s="71" t="s">
        <v>532</v>
      </c>
      <c r="BE2" s="71" t="s">
        <v>533</v>
      </c>
      <c r="BF2" s="71" t="s">
        <v>534</v>
      </c>
      <c r="BG2" s="71" t="s">
        <v>535</v>
      </c>
      <c r="BH2" s="71" t="s">
        <v>536</v>
      </c>
      <c r="BI2" s="71" t="s">
        <v>537</v>
      </c>
      <c r="BJ2" s="25"/>
      <c r="BK2" s="25"/>
      <c r="BL2" s="25"/>
      <c r="BM2" s="25"/>
    </row>
    <row r="4" spans="1:65" ht="14.25" customHeight="1" x14ac:dyDescent="0.2">
      <c r="A4" s="26">
        <v>15</v>
      </c>
      <c r="B4" s="26" t="s">
        <v>314</v>
      </c>
      <c r="C4" s="26" t="s">
        <v>538</v>
      </c>
      <c r="D4" s="26" t="s">
        <v>133</v>
      </c>
      <c r="E4" s="26" t="s">
        <v>539</v>
      </c>
      <c r="F4" s="26" t="s">
        <v>540</v>
      </c>
      <c r="G4" s="74">
        <v>2</v>
      </c>
      <c r="H4" s="75">
        <v>45547</v>
      </c>
      <c r="I4" s="76">
        <v>0.375</v>
      </c>
      <c r="J4" s="75">
        <v>45547</v>
      </c>
      <c r="K4" s="77">
        <v>0.38541666666666669</v>
      </c>
      <c r="L4" s="75">
        <v>45547</v>
      </c>
      <c r="M4" s="77">
        <v>0.40972222222222221</v>
      </c>
      <c r="N4" s="26">
        <v>-80</v>
      </c>
      <c r="O4" s="26">
        <v>70</v>
      </c>
      <c r="P4" s="26" t="s">
        <v>51</v>
      </c>
      <c r="Q4" s="29" t="s">
        <v>106</v>
      </c>
      <c r="R4" s="29" t="s">
        <v>107</v>
      </c>
      <c r="S4" s="26">
        <v>162</v>
      </c>
      <c r="T4" s="26">
        <v>60</v>
      </c>
      <c r="U4" s="26" t="s">
        <v>541</v>
      </c>
      <c r="V4" s="78">
        <v>45518</v>
      </c>
      <c r="W4" s="32" t="s">
        <v>108</v>
      </c>
      <c r="X4" s="32" t="s">
        <v>542</v>
      </c>
      <c r="Y4" s="32" t="s">
        <v>543</v>
      </c>
      <c r="Z4" s="32" t="s">
        <v>544</v>
      </c>
      <c r="AA4" s="32" t="s">
        <v>545</v>
      </c>
      <c r="AB4" s="32" t="s">
        <v>546</v>
      </c>
      <c r="AC4" s="26" t="s">
        <v>547</v>
      </c>
      <c r="AD4" s="32" t="s">
        <v>548</v>
      </c>
      <c r="AE4" s="79" t="s">
        <v>549</v>
      </c>
      <c r="AF4" s="79" t="s">
        <v>550</v>
      </c>
      <c r="AG4" s="26">
        <v>2005</v>
      </c>
      <c r="AH4" s="32" t="s">
        <v>551</v>
      </c>
      <c r="AI4" s="79" t="s">
        <v>552</v>
      </c>
      <c r="AJ4" s="79" t="s">
        <v>553</v>
      </c>
      <c r="AK4" s="79">
        <v>2005</v>
      </c>
      <c r="AL4" s="32" t="s">
        <v>551</v>
      </c>
      <c r="AM4" s="79" t="s">
        <v>554</v>
      </c>
      <c r="AN4" s="79" t="s">
        <v>555</v>
      </c>
      <c r="AO4" s="79">
        <v>2005</v>
      </c>
      <c r="AP4" s="32" t="s">
        <v>551</v>
      </c>
      <c r="AQ4" s="32" t="s">
        <v>551</v>
      </c>
      <c r="AR4" s="32" t="s">
        <v>551</v>
      </c>
      <c r="AS4" s="32" t="s">
        <v>551</v>
      </c>
      <c r="AT4" s="32" t="s">
        <v>551</v>
      </c>
      <c r="AU4" s="32" t="s">
        <v>551</v>
      </c>
      <c r="AV4" s="32" t="s">
        <v>551</v>
      </c>
      <c r="AW4" s="32" t="s">
        <v>551</v>
      </c>
      <c r="AX4" s="32" t="s">
        <v>551</v>
      </c>
      <c r="AY4" s="32" t="s">
        <v>551</v>
      </c>
      <c r="AZ4" s="32" t="s">
        <v>551</v>
      </c>
      <c r="BA4" s="32" t="s">
        <v>551</v>
      </c>
      <c r="BB4" s="32" t="s">
        <v>551</v>
      </c>
      <c r="BC4" s="32" t="s">
        <v>551</v>
      </c>
      <c r="BD4" s="32" t="s">
        <v>551</v>
      </c>
      <c r="BE4" s="32" t="s">
        <v>551</v>
      </c>
      <c r="BF4" s="32" t="s">
        <v>551</v>
      </c>
      <c r="BG4" s="29" t="s">
        <v>556</v>
      </c>
      <c r="BH4" s="29" t="s">
        <v>556</v>
      </c>
      <c r="BI4" s="29" t="s">
        <v>556</v>
      </c>
    </row>
    <row r="5" spans="1:65" ht="14.25" customHeight="1" x14ac:dyDescent="0.2">
      <c r="A5" s="26">
        <v>14</v>
      </c>
      <c r="B5" s="26" t="s">
        <v>314</v>
      </c>
      <c r="C5" s="26" t="s">
        <v>557</v>
      </c>
      <c r="D5" s="26" t="s">
        <v>131</v>
      </c>
      <c r="E5" s="26" t="s">
        <v>558</v>
      </c>
      <c r="F5" s="26" t="s">
        <v>540</v>
      </c>
      <c r="G5" s="74">
        <v>2</v>
      </c>
      <c r="H5" s="75">
        <v>45541</v>
      </c>
      <c r="I5" s="76">
        <v>0.375</v>
      </c>
      <c r="J5" s="75">
        <v>45541</v>
      </c>
      <c r="K5" s="77">
        <v>0.38541666666666669</v>
      </c>
      <c r="L5" s="75">
        <v>45541</v>
      </c>
      <c r="M5" s="77">
        <v>0.40972222222222221</v>
      </c>
      <c r="N5" s="26">
        <v>-80</v>
      </c>
      <c r="O5" s="26">
        <v>64</v>
      </c>
      <c r="P5" s="26" t="s">
        <v>20</v>
      </c>
      <c r="Q5" s="29" t="s">
        <v>106</v>
      </c>
      <c r="R5" s="29" t="s">
        <v>107</v>
      </c>
      <c r="S5" s="26">
        <v>183</v>
      </c>
      <c r="T5" s="26">
        <v>91</v>
      </c>
      <c r="U5" s="26" t="s">
        <v>541</v>
      </c>
      <c r="V5" s="78">
        <v>45445</v>
      </c>
      <c r="W5" s="26" t="s">
        <v>113</v>
      </c>
      <c r="X5" s="32" t="s">
        <v>559</v>
      </c>
      <c r="Y5" s="32" t="s">
        <v>543</v>
      </c>
      <c r="Z5" s="32" t="s">
        <v>544</v>
      </c>
      <c r="AA5" s="32" t="s">
        <v>560</v>
      </c>
      <c r="AB5" s="26" t="s">
        <v>561</v>
      </c>
      <c r="AC5" s="26" t="s">
        <v>562</v>
      </c>
      <c r="AD5" s="32" t="s">
        <v>548</v>
      </c>
      <c r="AE5" s="26" t="s">
        <v>563</v>
      </c>
      <c r="AF5" s="26" t="s">
        <v>555</v>
      </c>
      <c r="AG5" s="26">
        <v>2019</v>
      </c>
      <c r="AH5" s="32" t="s">
        <v>551</v>
      </c>
      <c r="AI5" s="32" t="s">
        <v>551</v>
      </c>
      <c r="AJ5" s="32" t="s">
        <v>551</v>
      </c>
      <c r="AK5" s="32" t="s">
        <v>551</v>
      </c>
      <c r="AL5" s="32" t="s">
        <v>551</v>
      </c>
      <c r="AM5" s="32" t="s">
        <v>551</v>
      </c>
      <c r="AN5" s="32" t="s">
        <v>551</v>
      </c>
      <c r="AO5" s="32" t="s">
        <v>551</v>
      </c>
      <c r="AP5" s="32" t="s">
        <v>551</v>
      </c>
      <c r="AQ5" s="32" t="s">
        <v>551</v>
      </c>
      <c r="AR5" s="32" t="s">
        <v>551</v>
      </c>
      <c r="AS5" s="32" t="s">
        <v>551</v>
      </c>
      <c r="AT5" s="32" t="s">
        <v>551</v>
      </c>
      <c r="AU5" s="32" t="s">
        <v>551</v>
      </c>
      <c r="AV5" s="32" t="s">
        <v>551</v>
      </c>
      <c r="AW5" s="32" t="s">
        <v>551</v>
      </c>
      <c r="AX5" s="32" t="s">
        <v>551</v>
      </c>
      <c r="AY5" s="32" t="s">
        <v>551</v>
      </c>
      <c r="AZ5" s="32" t="s">
        <v>551</v>
      </c>
      <c r="BA5" s="32" t="s">
        <v>551</v>
      </c>
      <c r="BB5" s="32" t="s">
        <v>551</v>
      </c>
      <c r="BC5" s="32" t="s">
        <v>551</v>
      </c>
      <c r="BD5" s="32" t="s">
        <v>551</v>
      </c>
      <c r="BE5" s="32" t="s">
        <v>551</v>
      </c>
      <c r="BF5" s="32" t="s">
        <v>551</v>
      </c>
      <c r="BG5" s="29" t="s">
        <v>556</v>
      </c>
      <c r="BH5" s="29" t="s">
        <v>556</v>
      </c>
      <c r="BI5" s="29" t="s">
        <v>556</v>
      </c>
    </row>
    <row r="6" spans="1:65" ht="14.25" customHeight="1" x14ac:dyDescent="0.2">
      <c r="A6" s="26">
        <v>12</v>
      </c>
      <c r="B6" s="26" t="s">
        <v>314</v>
      </c>
      <c r="C6" s="26" t="s">
        <v>557</v>
      </c>
      <c r="D6" s="26" t="s">
        <v>129</v>
      </c>
      <c r="E6" s="26" t="s">
        <v>564</v>
      </c>
      <c r="F6" s="26" t="s">
        <v>540</v>
      </c>
      <c r="G6" s="74">
        <v>2</v>
      </c>
      <c r="H6" s="75">
        <v>45525</v>
      </c>
      <c r="I6" s="77">
        <v>0.38541666666666669</v>
      </c>
      <c r="J6" s="75">
        <v>45525</v>
      </c>
      <c r="K6" s="76">
        <v>0.39583333333333331</v>
      </c>
      <c r="L6" s="75">
        <v>45525</v>
      </c>
      <c r="M6" s="76">
        <v>0.4201388888888889</v>
      </c>
      <c r="N6" s="26">
        <v>-80</v>
      </c>
      <c r="O6" s="26">
        <v>67</v>
      </c>
      <c r="P6" s="26" t="s">
        <v>51</v>
      </c>
      <c r="Q6" s="29" t="s">
        <v>106</v>
      </c>
      <c r="R6" s="29" t="s">
        <v>107</v>
      </c>
      <c r="S6" s="26">
        <v>174</v>
      </c>
      <c r="T6" s="26">
        <v>64</v>
      </c>
      <c r="U6" s="26" t="s">
        <v>541</v>
      </c>
      <c r="V6" s="78">
        <v>45491</v>
      </c>
      <c r="W6" s="32" t="s">
        <v>108</v>
      </c>
      <c r="X6" s="26" t="s">
        <v>565</v>
      </c>
      <c r="Y6" s="32" t="s">
        <v>543</v>
      </c>
      <c r="Z6" s="32" t="s">
        <v>544</v>
      </c>
      <c r="AA6" s="32" t="s">
        <v>560</v>
      </c>
      <c r="AB6" s="26" t="s">
        <v>566</v>
      </c>
      <c r="AC6" s="84" t="s">
        <v>567</v>
      </c>
      <c r="AD6" s="32" t="s">
        <v>548</v>
      </c>
      <c r="AE6" s="79" t="s">
        <v>568</v>
      </c>
      <c r="AF6" s="79" t="s">
        <v>550</v>
      </c>
      <c r="AG6" s="74" t="s">
        <v>155</v>
      </c>
      <c r="AH6" s="32" t="s">
        <v>551</v>
      </c>
      <c r="AI6" s="79" t="s">
        <v>569</v>
      </c>
      <c r="AJ6" s="79" t="s">
        <v>570</v>
      </c>
      <c r="AK6" s="74" t="s">
        <v>155</v>
      </c>
      <c r="AL6" s="32" t="s">
        <v>551</v>
      </c>
      <c r="AM6" s="79" t="s">
        <v>571</v>
      </c>
      <c r="AN6" s="79" t="s">
        <v>572</v>
      </c>
      <c r="AO6" s="32" t="s">
        <v>551</v>
      </c>
      <c r="AP6" s="32" t="s">
        <v>551</v>
      </c>
      <c r="AQ6" s="85" t="s">
        <v>573</v>
      </c>
      <c r="AR6" s="79" t="s">
        <v>574</v>
      </c>
      <c r="AS6" s="32" t="s">
        <v>551</v>
      </c>
      <c r="AT6" s="32" t="s">
        <v>551</v>
      </c>
      <c r="AU6" s="79" t="s">
        <v>575</v>
      </c>
      <c r="AV6" s="79" t="s">
        <v>576</v>
      </c>
      <c r="AW6" s="32" t="s">
        <v>551</v>
      </c>
      <c r="AX6" s="32" t="s">
        <v>551</v>
      </c>
      <c r="AY6" s="79" t="s">
        <v>577</v>
      </c>
      <c r="AZ6" s="79" t="s">
        <v>578</v>
      </c>
      <c r="BA6" s="32" t="s">
        <v>551</v>
      </c>
      <c r="BB6" s="32" t="s">
        <v>551</v>
      </c>
      <c r="BC6" s="79" t="s">
        <v>579</v>
      </c>
      <c r="BD6" s="79" t="s">
        <v>578</v>
      </c>
      <c r="BE6" s="32" t="s">
        <v>551</v>
      </c>
      <c r="BF6" s="32" t="s">
        <v>551</v>
      </c>
      <c r="BG6" s="29" t="s">
        <v>556</v>
      </c>
      <c r="BH6" s="29" t="s">
        <v>556</v>
      </c>
      <c r="BI6" s="29" t="s">
        <v>556</v>
      </c>
    </row>
    <row r="7" spans="1:65" ht="14.25" customHeight="1" x14ac:dyDescent="0.2">
      <c r="A7" s="26">
        <v>10</v>
      </c>
      <c r="B7" s="26" t="s">
        <v>314</v>
      </c>
      <c r="C7" s="26" t="s">
        <v>538</v>
      </c>
      <c r="D7" s="26" t="s">
        <v>127</v>
      </c>
      <c r="E7" s="26" t="s">
        <v>580</v>
      </c>
      <c r="F7" s="26" t="s">
        <v>540</v>
      </c>
      <c r="G7" s="74">
        <v>2</v>
      </c>
      <c r="H7" s="75">
        <v>45526</v>
      </c>
      <c r="I7" s="76">
        <v>0.41666666666666669</v>
      </c>
      <c r="J7" s="75">
        <v>45526</v>
      </c>
      <c r="K7" s="76">
        <v>0.42708333333333331</v>
      </c>
      <c r="L7" s="75">
        <v>45526</v>
      </c>
      <c r="M7" s="76">
        <v>0.4513888888888889</v>
      </c>
      <c r="N7" s="26">
        <v>-80</v>
      </c>
      <c r="O7" s="26">
        <v>60</v>
      </c>
      <c r="P7" s="26" t="s">
        <v>20</v>
      </c>
      <c r="Q7" s="29" t="s">
        <v>106</v>
      </c>
      <c r="R7" s="29" t="s">
        <v>107</v>
      </c>
      <c r="S7" s="26">
        <v>175</v>
      </c>
      <c r="T7" s="26">
        <v>75</v>
      </c>
      <c r="U7" s="26" t="s">
        <v>541</v>
      </c>
      <c r="V7" s="78">
        <v>45506</v>
      </c>
      <c r="W7" s="26" t="s">
        <v>113</v>
      </c>
      <c r="X7" s="32" t="s">
        <v>542</v>
      </c>
      <c r="Y7" s="32" t="s">
        <v>543</v>
      </c>
      <c r="Z7" s="32" t="s">
        <v>544</v>
      </c>
      <c r="AA7" s="32" t="s">
        <v>560</v>
      </c>
      <c r="AB7" s="32" t="s">
        <v>546</v>
      </c>
      <c r="AC7" s="26" t="s">
        <v>581</v>
      </c>
      <c r="AD7" s="32" t="s">
        <v>548</v>
      </c>
      <c r="AE7" s="26" t="s">
        <v>582</v>
      </c>
      <c r="AF7" s="26" t="s">
        <v>553</v>
      </c>
      <c r="AG7" s="26">
        <v>2012</v>
      </c>
      <c r="AH7" s="32" t="s">
        <v>551</v>
      </c>
      <c r="AI7" s="32" t="s">
        <v>551</v>
      </c>
      <c r="AJ7" s="32" t="s">
        <v>551</v>
      </c>
      <c r="AK7" s="32" t="s">
        <v>551</v>
      </c>
      <c r="AL7" s="32" t="s">
        <v>551</v>
      </c>
      <c r="AM7" s="32" t="s">
        <v>551</v>
      </c>
      <c r="AN7" s="32" t="s">
        <v>551</v>
      </c>
      <c r="AO7" s="32" t="s">
        <v>551</v>
      </c>
      <c r="AP7" s="32" t="s">
        <v>551</v>
      </c>
      <c r="AQ7" s="32" t="s">
        <v>551</v>
      </c>
      <c r="AR7" s="32" t="s">
        <v>551</v>
      </c>
      <c r="AS7" s="32" t="s">
        <v>551</v>
      </c>
      <c r="AT7" s="32" t="s">
        <v>551</v>
      </c>
      <c r="AU7" s="32" t="s">
        <v>551</v>
      </c>
      <c r="AV7" s="32" t="s">
        <v>551</v>
      </c>
      <c r="AW7" s="32" t="s">
        <v>551</v>
      </c>
      <c r="AX7" s="32" t="s">
        <v>551</v>
      </c>
      <c r="AY7" s="32" t="s">
        <v>551</v>
      </c>
      <c r="AZ7" s="32" t="s">
        <v>551</v>
      </c>
      <c r="BA7" s="32" t="s">
        <v>551</v>
      </c>
      <c r="BB7" s="32" t="s">
        <v>551</v>
      </c>
      <c r="BC7" s="32" t="s">
        <v>551</v>
      </c>
      <c r="BD7" s="32" t="s">
        <v>551</v>
      </c>
      <c r="BE7" s="32" t="s">
        <v>551</v>
      </c>
      <c r="BF7" s="32" t="s">
        <v>551</v>
      </c>
      <c r="BG7" s="29" t="s">
        <v>556</v>
      </c>
      <c r="BH7" s="29" t="s">
        <v>556</v>
      </c>
      <c r="BI7" s="29" t="s">
        <v>556</v>
      </c>
    </row>
    <row r="8" spans="1:65" ht="14.25" customHeight="1" x14ac:dyDescent="0.2">
      <c r="A8" s="26">
        <v>9</v>
      </c>
      <c r="B8" s="26" t="s">
        <v>314</v>
      </c>
      <c r="C8" s="26" t="s">
        <v>538</v>
      </c>
      <c r="D8" s="26" t="s">
        <v>125</v>
      </c>
      <c r="E8" s="26" t="s">
        <v>583</v>
      </c>
      <c r="F8" s="26" t="s">
        <v>540</v>
      </c>
      <c r="G8" s="74">
        <v>2</v>
      </c>
      <c r="H8" s="75">
        <v>45526</v>
      </c>
      <c r="I8" s="76">
        <v>0.375</v>
      </c>
      <c r="J8" s="75">
        <v>45526</v>
      </c>
      <c r="K8" s="77">
        <v>0.38541666666666669</v>
      </c>
      <c r="L8" s="75">
        <v>45526</v>
      </c>
      <c r="M8" s="77">
        <v>0.40972222222222221</v>
      </c>
      <c r="N8" s="32">
        <v>-80</v>
      </c>
      <c r="O8" s="26">
        <v>63</v>
      </c>
      <c r="P8" s="26" t="s">
        <v>51</v>
      </c>
      <c r="Q8" s="29" t="s">
        <v>106</v>
      </c>
      <c r="R8" s="29" t="s">
        <v>107</v>
      </c>
      <c r="S8" s="26">
        <v>158</v>
      </c>
      <c r="T8" s="26">
        <v>69</v>
      </c>
      <c r="U8" s="26" t="s">
        <v>541</v>
      </c>
      <c r="V8" s="78">
        <v>45506</v>
      </c>
      <c r="W8" s="26" t="s">
        <v>113</v>
      </c>
      <c r="X8" s="26" t="s">
        <v>542</v>
      </c>
      <c r="Y8" s="26" t="s">
        <v>584</v>
      </c>
      <c r="Z8" s="26" t="s">
        <v>585</v>
      </c>
      <c r="AA8" s="26" t="s">
        <v>560</v>
      </c>
      <c r="AB8" s="26" t="s">
        <v>586</v>
      </c>
      <c r="AC8" s="26" t="s">
        <v>587</v>
      </c>
      <c r="AD8" s="32" t="s">
        <v>548</v>
      </c>
      <c r="AE8" s="79" t="s">
        <v>588</v>
      </c>
      <c r="AF8" s="79" t="s">
        <v>555</v>
      </c>
      <c r="AG8" s="26">
        <v>2009</v>
      </c>
      <c r="AH8" s="32" t="s">
        <v>551</v>
      </c>
      <c r="AI8" s="79" t="s">
        <v>582</v>
      </c>
      <c r="AJ8" s="79" t="s">
        <v>553</v>
      </c>
      <c r="AK8" s="79">
        <v>2010</v>
      </c>
      <c r="AL8" s="32" t="s">
        <v>551</v>
      </c>
      <c r="AM8" s="32" t="s">
        <v>551</v>
      </c>
      <c r="AN8" s="32" t="s">
        <v>551</v>
      </c>
      <c r="AO8" s="32" t="s">
        <v>551</v>
      </c>
      <c r="AP8" s="32" t="s">
        <v>551</v>
      </c>
      <c r="AQ8" s="32" t="s">
        <v>551</v>
      </c>
      <c r="AR8" s="32" t="s">
        <v>551</v>
      </c>
      <c r="AS8" s="32" t="s">
        <v>551</v>
      </c>
      <c r="AT8" s="32" t="s">
        <v>551</v>
      </c>
      <c r="AU8" s="32" t="s">
        <v>551</v>
      </c>
      <c r="AV8" s="32" t="s">
        <v>551</v>
      </c>
      <c r="AW8" s="32" t="s">
        <v>551</v>
      </c>
      <c r="AX8" s="32" t="s">
        <v>551</v>
      </c>
      <c r="AY8" s="32" t="s">
        <v>551</v>
      </c>
      <c r="AZ8" s="32" t="s">
        <v>551</v>
      </c>
      <c r="BA8" s="32" t="s">
        <v>551</v>
      </c>
      <c r="BB8" s="32" t="s">
        <v>551</v>
      </c>
      <c r="BC8" s="32" t="s">
        <v>551</v>
      </c>
      <c r="BD8" s="32" t="s">
        <v>551</v>
      </c>
      <c r="BE8" s="32" t="s">
        <v>551</v>
      </c>
      <c r="BF8" s="32" t="s">
        <v>551</v>
      </c>
      <c r="BG8" s="29" t="s">
        <v>556</v>
      </c>
      <c r="BH8" s="29" t="s">
        <v>556</v>
      </c>
      <c r="BI8" s="29" t="s">
        <v>556</v>
      </c>
    </row>
    <row r="9" spans="1:65" ht="14.25" customHeight="1" x14ac:dyDescent="0.2">
      <c r="A9" s="26">
        <v>8</v>
      </c>
      <c r="B9" s="26" t="s">
        <v>314</v>
      </c>
      <c r="C9" s="26" t="s">
        <v>557</v>
      </c>
      <c r="D9" s="26" t="s">
        <v>122</v>
      </c>
      <c r="E9" s="26" t="s">
        <v>589</v>
      </c>
      <c r="F9" s="26" t="s">
        <v>540</v>
      </c>
      <c r="G9" s="74">
        <v>2</v>
      </c>
      <c r="H9" s="75">
        <v>45547</v>
      </c>
      <c r="I9" s="76">
        <v>0.375</v>
      </c>
      <c r="J9" s="75">
        <v>45547</v>
      </c>
      <c r="K9" s="77">
        <v>0.38541666666666669</v>
      </c>
      <c r="L9" s="75">
        <v>45547</v>
      </c>
      <c r="M9" s="77">
        <v>0.40972222222222221</v>
      </c>
      <c r="N9" s="32">
        <v>-80</v>
      </c>
      <c r="O9" s="26">
        <v>66</v>
      </c>
      <c r="P9" s="26" t="s">
        <v>51</v>
      </c>
      <c r="Q9" s="29" t="s">
        <v>106</v>
      </c>
      <c r="R9" s="29" t="s">
        <v>107</v>
      </c>
      <c r="S9" s="26">
        <v>169</v>
      </c>
      <c r="T9" s="26">
        <v>73</v>
      </c>
      <c r="U9" s="26" t="s">
        <v>541</v>
      </c>
      <c r="V9" s="78">
        <v>45525</v>
      </c>
      <c r="W9" s="32" t="s">
        <v>108</v>
      </c>
      <c r="X9" s="26" t="s">
        <v>565</v>
      </c>
      <c r="Y9" s="32" t="s">
        <v>543</v>
      </c>
      <c r="Z9" s="32" t="s">
        <v>544</v>
      </c>
      <c r="AA9" s="32" t="s">
        <v>560</v>
      </c>
      <c r="AB9" s="26" t="s">
        <v>566</v>
      </c>
      <c r="AC9" s="26" t="s">
        <v>590</v>
      </c>
      <c r="AD9" s="32" t="s">
        <v>548</v>
      </c>
      <c r="AE9" s="79" t="s">
        <v>575</v>
      </c>
      <c r="AF9" s="79" t="s">
        <v>578</v>
      </c>
      <c r="AG9" s="26">
        <v>2010</v>
      </c>
      <c r="AH9" s="32" t="s">
        <v>551</v>
      </c>
      <c r="AI9" s="79" t="s">
        <v>591</v>
      </c>
      <c r="AJ9" s="79" t="s">
        <v>592</v>
      </c>
      <c r="AK9" s="79">
        <v>2019</v>
      </c>
      <c r="AL9" s="32" t="s">
        <v>551</v>
      </c>
      <c r="AM9" s="32" t="s">
        <v>551</v>
      </c>
      <c r="AN9" s="32" t="s">
        <v>551</v>
      </c>
      <c r="AO9" s="32" t="s">
        <v>551</v>
      </c>
      <c r="AP9" s="32" t="s">
        <v>551</v>
      </c>
      <c r="AQ9" s="32" t="s">
        <v>551</v>
      </c>
      <c r="AR9" s="32" t="s">
        <v>551</v>
      </c>
      <c r="AS9" s="32" t="s">
        <v>551</v>
      </c>
      <c r="AT9" s="32" t="s">
        <v>551</v>
      </c>
      <c r="AU9" s="32" t="s">
        <v>551</v>
      </c>
      <c r="AV9" s="32" t="s">
        <v>551</v>
      </c>
      <c r="AW9" s="32" t="s">
        <v>551</v>
      </c>
      <c r="AX9" s="32" t="s">
        <v>551</v>
      </c>
      <c r="AY9" s="32" t="s">
        <v>551</v>
      </c>
      <c r="AZ9" s="32" t="s">
        <v>551</v>
      </c>
      <c r="BA9" s="32" t="s">
        <v>551</v>
      </c>
      <c r="BB9" s="32" t="s">
        <v>551</v>
      </c>
      <c r="BC9" s="32" t="s">
        <v>551</v>
      </c>
      <c r="BD9" s="32" t="s">
        <v>551</v>
      </c>
      <c r="BE9" s="32" t="s">
        <v>551</v>
      </c>
      <c r="BF9" s="32" t="s">
        <v>551</v>
      </c>
      <c r="BG9" s="29" t="s">
        <v>556</v>
      </c>
      <c r="BH9" s="29" t="s">
        <v>556</v>
      </c>
      <c r="BI9" s="29" t="s">
        <v>556</v>
      </c>
    </row>
    <row r="10" spans="1:65" ht="14.25" customHeight="1" x14ac:dyDescent="0.2">
      <c r="A10" s="26">
        <v>7</v>
      </c>
      <c r="B10" s="26" t="s">
        <v>314</v>
      </c>
      <c r="C10" s="26" t="s">
        <v>557</v>
      </c>
      <c r="D10" s="26" t="s">
        <v>120</v>
      </c>
      <c r="E10" s="26" t="s">
        <v>593</v>
      </c>
      <c r="F10" s="26" t="s">
        <v>540</v>
      </c>
      <c r="G10" s="74">
        <v>2</v>
      </c>
      <c r="H10" s="75">
        <v>45548</v>
      </c>
      <c r="I10" s="77">
        <v>0.375</v>
      </c>
      <c r="J10" s="75">
        <v>45548</v>
      </c>
      <c r="K10" s="77">
        <v>0.38541666666666669</v>
      </c>
      <c r="L10" s="75">
        <v>45548</v>
      </c>
      <c r="M10" s="77">
        <v>0.40972222222222221</v>
      </c>
      <c r="N10" s="32">
        <v>-80</v>
      </c>
      <c r="O10" s="26">
        <v>74</v>
      </c>
      <c r="P10" s="26" t="s">
        <v>20</v>
      </c>
      <c r="Q10" s="29" t="s">
        <v>106</v>
      </c>
      <c r="R10" s="29" t="s">
        <v>107</v>
      </c>
      <c r="S10" s="26">
        <v>178</v>
      </c>
      <c r="T10" s="26">
        <v>80</v>
      </c>
      <c r="U10" s="26" t="s">
        <v>541</v>
      </c>
      <c r="V10" s="78">
        <v>45511</v>
      </c>
      <c r="W10" s="32" t="s">
        <v>108</v>
      </c>
      <c r="X10" s="32" t="s">
        <v>542</v>
      </c>
      <c r="Y10" s="32" t="s">
        <v>543</v>
      </c>
      <c r="Z10" s="32" t="s">
        <v>544</v>
      </c>
      <c r="AA10" s="32" t="s">
        <v>560</v>
      </c>
      <c r="AB10" s="32" t="s">
        <v>546</v>
      </c>
      <c r="AC10" s="32" t="s">
        <v>594</v>
      </c>
      <c r="AD10" s="32" t="s">
        <v>548</v>
      </c>
      <c r="AE10" s="74" t="s">
        <v>595</v>
      </c>
      <c r="AF10" s="74" t="s">
        <v>596</v>
      </c>
      <c r="AG10" s="32">
        <v>2001</v>
      </c>
      <c r="AH10" s="32" t="s">
        <v>551</v>
      </c>
      <c r="AI10" s="26" t="s">
        <v>597</v>
      </c>
      <c r="AJ10" s="74" t="s">
        <v>598</v>
      </c>
      <c r="AK10" s="74">
        <v>2000</v>
      </c>
      <c r="AL10" s="32" t="s">
        <v>551</v>
      </c>
      <c r="AM10" s="32" t="s">
        <v>551</v>
      </c>
      <c r="AN10" s="32" t="s">
        <v>551</v>
      </c>
      <c r="AO10" s="32" t="s">
        <v>551</v>
      </c>
      <c r="AP10" s="32" t="s">
        <v>551</v>
      </c>
      <c r="AQ10" s="86" t="s">
        <v>551</v>
      </c>
      <c r="AR10" s="86" t="s">
        <v>551</v>
      </c>
      <c r="AS10" s="86" t="s">
        <v>551</v>
      </c>
      <c r="AT10" s="86" t="s">
        <v>551</v>
      </c>
      <c r="AU10" s="86" t="s">
        <v>551</v>
      </c>
      <c r="AV10" s="86" t="s">
        <v>551</v>
      </c>
      <c r="AW10" s="86" t="s">
        <v>551</v>
      </c>
      <c r="AX10" s="86" t="s">
        <v>551</v>
      </c>
      <c r="AY10" s="86" t="s">
        <v>551</v>
      </c>
      <c r="AZ10" s="86" t="s">
        <v>551</v>
      </c>
      <c r="BA10" s="86" t="s">
        <v>551</v>
      </c>
      <c r="BB10" s="86" t="s">
        <v>551</v>
      </c>
      <c r="BC10" s="86" t="s">
        <v>551</v>
      </c>
      <c r="BD10" s="86" t="s">
        <v>551</v>
      </c>
      <c r="BE10" s="86" t="s">
        <v>551</v>
      </c>
      <c r="BF10" s="86" t="s">
        <v>551</v>
      </c>
      <c r="BG10" s="29" t="s">
        <v>556</v>
      </c>
      <c r="BH10" s="29" t="s">
        <v>556</v>
      </c>
      <c r="BI10" s="29" t="s">
        <v>556</v>
      </c>
    </row>
    <row r="11" spans="1:65" ht="14.25" customHeight="1" x14ac:dyDescent="0.2">
      <c r="A11" s="26">
        <v>6</v>
      </c>
      <c r="B11" s="26" t="s">
        <v>314</v>
      </c>
      <c r="C11" s="26" t="s">
        <v>599</v>
      </c>
      <c r="D11" s="26" t="s">
        <v>118</v>
      </c>
      <c r="E11" s="27" t="s">
        <v>600</v>
      </c>
      <c r="F11" s="27" t="s">
        <v>540</v>
      </c>
      <c r="G11" s="26">
        <v>2.6</v>
      </c>
      <c r="H11" s="28">
        <v>45558</v>
      </c>
      <c r="I11" s="76">
        <v>0.52083333333333337</v>
      </c>
      <c r="J11" s="28">
        <v>45558</v>
      </c>
      <c r="K11" s="76">
        <v>0.53472222222222221</v>
      </c>
      <c r="L11" s="28">
        <v>45558</v>
      </c>
      <c r="M11" s="76">
        <v>0.57638888888888884</v>
      </c>
      <c r="N11" s="26">
        <v>-80</v>
      </c>
      <c r="O11" s="26">
        <v>40</v>
      </c>
      <c r="P11" s="26" t="s">
        <v>51</v>
      </c>
      <c r="Q11" s="29" t="s">
        <v>106</v>
      </c>
      <c r="R11" s="29" t="s">
        <v>107</v>
      </c>
      <c r="S11" s="26">
        <v>162</v>
      </c>
      <c r="T11" s="26">
        <v>50</v>
      </c>
      <c r="U11" s="26" t="s">
        <v>541</v>
      </c>
      <c r="V11" s="28">
        <v>45408</v>
      </c>
      <c r="W11" s="26" t="s">
        <v>113</v>
      </c>
      <c r="X11" s="27" t="s">
        <v>559</v>
      </c>
      <c r="Y11" s="86" t="s">
        <v>543</v>
      </c>
      <c r="Z11" s="86" t="s">
        <v>544</v>
      </c>
      <c r="AA11" s="26" t="s">
        <v>560</v>
      </c>
      <c r="AB11" s="26" t="s">
        <v>561</v>
      </c>
      <c r="AC11" s="26" t="s">
        <v>601</v>
      </c>
      <c r="AD11" s="26" t="s">
        <v>602</v>
      </c>
      <c r="AE11" s="86" t="s">
        <v>551</v>
      </c>
      <c r="AF11" s="86" t="s">
        <v>551</v>
      </c>
      <c r="AG11" s="86" t="s">
        <v>551</v>
      </c>
      <c r="AH11" s="86" t="s">
        <v>551</v>
      </c>
      <c r="AI11" s="86" t="s">
        <v>551</v>
      </c>
      <c r="AJ11" s="86" t="s">
        <v>551</v>
      </c>
      <c r="AK11" s="86" t="s">
        <v>551</v>
      </c>
      <c r="AL11" s="86" t="s">
        <v>551</v>
      </c>
      <c r="AM11" s="86" t="s">
        <v>551</v>
      </c>
      <c r="AN11" s="86" t="s">
        <v>551</v>
      </c>
      <c r="AO11" s="86" t="s">
        <v>551</v>
      </c>
      <c r="AP11" s="86" t="s">
        <v>551</v>
      </c>
      <c r="AQ11" s="86" t="s">
        <v>551</v>
      </c>
      <c r="AR11" s="86" t="s">
        <v>551</v>
      </c>
      <c r="AS11" s="86" t="s">
        <v>551</v>
      </c>
      <c r="AT11" s="86" t="s">
        <v>551</v>
      </c>
      <c r="AU11" s="86" t="s">
        <v>551</v>
      </c>
      <c r="AV11" s="86" t="s">
        <v>551</v>
      </c>
      <c r="AW11" s="86" t="s">
        <v>551</v>
      </c>
      <c r="AX11" s="86" t="s">
        <v>551</v>
      </c>
      <c r="AY11" s="86" t="s">
        <v>551</v>
      </c>
      <c r="AZ11" s="86" t="s">
        <v>551</v>
      </c>
      <c r="BA11" s="86" t="s">
        <v>551</v>
      </c>
      <c r="BB11" s="86" t="s">
        <v>551</v>
      </c>
      <c r="BC11" s="86" t="s">
        <v>551</v>
      </c>
      <c r="BD11" s="86" t="s">
        <v>551</v>
      </c>
      <c r="BE11" s="86" t="s">
        <v>551</v>
      </c>
      <c r="BF11" s="86" t="s">
        <v>551</v>
      </c>
      <c r="BG11" s="87" t="s">
        <v>556</v>
      </c>
      <c r="BH11" s="87" t="s">
        <v>556</v>
      </c>
      <c r="BI11" s="87" t="s">
        <v>556</v>
      </c>
    </row>
    <row r="12" spans="1:65" ht="14.25" customHeight="1" x14ac:dyDescent="0.2">
      <c r="A12" s="26">
        <v>5</v>
      </c>
      <c r="B12" s="26" t="s">
        <v>314</v>
      </c>
      <c r="C12" s="26" t="s">
        <v>603</v>
      </c>
      <c r="D12" s="26" t="s">
        <v>115</v>
      </c>
      <c r="E12" s="27" t="s">
        <v>604</v>
      </c>
      <c r="F12" s="27" t="s">
        <v>540</v>
      </c>
      <c r="G12" s="26">
        <v>2</v>
      </c>
      <c r="H12" s="28">
        <v>45562</v>
      </c>
      <c r="I12" s="76">
        <v>0.40277777777777779</v>
      </c>
      <c r="J12" s="28">
        <v>45562</v>
      </c>
      <c r="K12" s="76">
        <v>0.41666666666666669</v>
      </c>
      <c r="L12" s="28">
        <v>45562</v>
      </c>
      <c r="M12" s="76">
        <v>0.43055555555555558</v>
      </c>
      <c r="N12" s="26">
        <v>-80</v>
      </c>
      <c r="O12" s="26">
        <v>54</v>
      </c>
      <c r="P12" s="26" t="s">
        <v>20</v>
      </c>
      <c r="Q12" s="29" t="s">
        <v>106</v>
      </c>
      <c r="R12" s="29" t="s">
        <v>107</v>
      </c>
      <c r="S12" s="26">
        <v>175</v>
      </c>
      <c r="T12" s="26">
        <v>74</v>
      </c>
      <c r="U12" s="26" t="s">
        <v>541</v>
      </c>
      <c r="V12" s="28">
        <v>45537</v>
      </c>
      <c r="W12" s="26" t="s">
        <v>108</v>
      </c>
      <c r="X12" s="27" t="s">
        <v>542</v>
      </c>
      <c r="Y12" s="86" t="s">
        <v>543</v>
      </c>
      <c r="Z12" s="86" t="s">
        <v>585</v>
      </c>
      <c r="AA12" s="26" t="s">
        <v>560</v>
      </c>
      <c r="AB12" s="26" t="s">
        <v>605</v>
      </c>
      <c r="AC12" s="26" t="s">
        <v>601</v>
      </c>
      <c r="AD12" s="26" t="s">
        <v>602</v>
      </c>
      <c r="AE12" s="86" t="s">
        <v>551</v>
      </c>
      <c r="AF12" s="86" t="s">
        <v>551</v>
      </c>
      <c r="AG12" s="86" t="s">
        <v>551</v>
      </c>
      <c r="AH12" s="86" t="s">
        <v>551</v>
      </c>
      <c r="AI12" s="86" t="s">
        <v>551</v>
      </c>
      <c r="AJ12" s="86" t="s">
        <v>551</v>
      </c>
      <c r="AK12" s="86" t="s">
        <v>551</v>
      </c>
      <c r="AL12" s="86" t="s">
        <v>551</v>
      </c>
      <c r="AM12" s="86" t="s">
        <v>551</v>
      </c>
      <c r="AN12" s="86" t="s">
        <v>551</v>
      </c>
      <c r="AO12" s="86" t="s">
        <v>551</v>
      </c>
      <c r="AP12" s="86" t="s">
        <v>551</v>
      </c>
      <c r="AQ12" s="86" t="s">
        <v>551</v>
      </c>
      <c r="AR12" s="86" t="s">
        <v>551</v>
      </c>
      <c r="AS12" s="86" t="s">
        <v>551</v>
      </c>
      <c r="AT12" s="86" t="s">
        <v>551</v>
      </c>
      <c r="AU12" s="86" t="s">
        <v>551</v>
      </c>
      <c r="AV12" s="86" t="s">
        <v>551</v>
      </c>
      <c r="AW12" s="86" t="s">
        <v>551</v>
      </c>
      <c r="AX12" s="86" t="s">
        <v>551</v>
      </c>
      <c r="AY12" s="86" t="s">
        <v>551</v>
      </c>
      <c r="AZ12" s="86" t="s">
        <v>551</v>
      </c>
      <c r="BA12" s="86" t="s">
        <v>551</v>
      </c>
      <c r="BB12" s="86" t="s">
        <v>551</v>
      </c>
      <c r="BC12" s="86" t="s">
        <v>551</v>
      </c>
      <c r="BD12" s="86" t="s">
        <v>551</v>
      </c>
      <c r="BE12" s="86" t="s">
        <v>551</v>
      </c>
      <c r="BF12" s="86" t="s">
        <v>551</v>
      </c>
      <c r="BG12" s="87" t="s">
        <v>556</v>
      </c>
      <c r="BH12" s="87" t="s">
        <v>556</v>
      </c>
      <c r="BI12" s="87" t="s">
        <v>556</v>
      </c>
    </row>
    <row r="13" spans="1:65" ht="14.25" customHeight="1" x14ac:dyDescent="0.2">
      <c r="A13" s="26">
        <v>3</v>
      </c>
      <c r="B13" s="26" t="s">
        <v>314</v>
      </c>
      <c r="C13" s="26" t="s">
        <v>599</v>
      </c>
      <c r="D13" s="26" t="s">
        <v>112</v>
      </c>
      <c r="E13" s="27" t="s">
        <v>606</v>
      </c>
      <c r="F13" s="27" t="s">
        <v>540</v>
      </c>
      <c r="G13" s="27">
        <v>3</v>
      </c>
      <c r="H13" s="28">
        <v>45530</v>
      </c>
      <c r="I13" s="76">
        <v>0.63194444444444442</v>
      </c>
      <c r="J13" s="28">
        <v>45530</v>
      </c>
      <c r="K13" s="76">
        <v>0.64236111111111116</v>
      </c>
      <c r="L13" s="28">
        <v>45530</v>
      </c>
      <c r="M13" s="76">
        <v>0.67361111111111116</v>
      </c>
      <c r="N13" s="26">
        <v>-80</v>
      </c>
      <c r="O13" s="26">
        <v>67</v>
      </c>
      <c r="P13" s="26" t="s">
        <v>51</v>
      </c>
      <c r="Q13" s="29" t="s">
        <v>106</v>
      </c>
      <c r="R13" s="29" t="s">
        <v>107</v>
      </c>
      <c r="S13" s="26">
        <v>168</v>
      </c>
      <c r="T13" s="26">
        <v>66</v>
      </c>
      <c r="U13" s="26" t="s">
        <v>541</v>
      </c>
      <c r="V13" s="28">
        <v>45520</v>
      </c>
      <c r="W13" s="26" t="s">
        <v>113</v>
      </c>
      <c r="X13" s="27" t="s">
        <v>542</v>
      </c>
      <c r="Y13" s="86" t="s">
        <v>584</v>
      </c>
      <c r="Z13" s="86" t="s">
        <v>585</v>
      </c>
      <c r="AA13" s="26" t="s">
        <v>560</v>
      </c>
      <c r="AB13" s="26" t="s">
        <v>586</v>
      </c>
      <c r="AC13" s="26" t="s">
        <v>601</v>
      </c>
      <c r="AD13" s="26" t="s">
        <v>602</v>
      </c>
      <c r="AE13" s="86" t="s">
        <v>551</v>
      </c>
      <c r="AF13" s="86" t="s">
        <v>551</v>
      </c>
      <c r="AG13" s="86" t="s">
        <v>551</v>
      </c>
      <c r="AH13" s="86" t="s">
        <v>551</v>
      </c>
      <c r="AI13" s="86" t="s">
        <v>551</v>
      </c>
      <c r="AJ13" s="86" t="s">
        <v>551</v>
      </c>
      <c r="AK13" s="86" t="s">
        <v>551</v>
      </c>
      <c r="AL13" s="86" t="s">
        <v>551</v>
      </c>
      <c r="AM13" s="86" t="s">
        <v>551</v>
      </c>
      <c r="AN13" s="86" t="s">
        <v>551</v>
      </c>
      <c r="AO13" s="86" t="s">
        <v>551</v>
      </c>
      <c r="AP13" s="86" t="s">
        <v>551</v>
      </c>
      <c r="AQ13" s="86" t="s">
        <v>551</v>
      </c>
      <c r="AR13" s="86" t="s">
        <v>551</v>
      </c>
      <c r="AS13" s="86" t="s">
        <v>551</v>
      </c>
      <c r="AT13" s="86" t="s">
        <v>551</v>
      </c>
      <c r="AU13" s="86" t="s">
        <v>551</v>
      </c>
      <c r="AV13" s="86" t="s">
        <v>551</v>
      </c>
      <c r="AW13" s="86" t="s">
        <v>551</v>
      </c>
      <c r="AX13" s="86" t="s">
        <v>551</v>
      </c>
      <c r="AY13" s="86" t="s">
        <v>551</v>
      </c>
      <c r="AZ13" s="86" t="s">
        <v>551</v>
      </c>
      <c r="BA13" s="86" t="s">
        <v>551</v>
      </c>
      <c r="BB13" s="86" t="s">
        <v>551</v>
      </c>
      <c r="BC13" s="86" t="s">
        <v>551</v>
      </c>
      <c r="BD13" s="86" t="s">
        <v>551</v>
      </c>
      <c r="BE13" s="86" t="s">
        <v>551</v>
      </c>
      <c r="BF13" s="86" t="s">
        <v>551</v>
      </c>
      <c r="BG13" s="87" t="s">
        <v>556</v>
      </c>
      <c r="BH13" s="87" t="s">
        <v>556</v>
      </c>
      <c r="BI13" s="87" t="s">
        <v>556</v>
      </c>
    </row>
    <row r="14" spans="1:65" ht="14.25" customHeight="1" x14ac:dyDescent="0.2">
      <c r="A14" s="26">
        <v>2</v>
      </c>
      <c r="B14" s="26" t="s">
        <v>314</v>
      </c>
      <c r="C14" s="26" t="s">
        <v>607</v>
      </c>
      <c r="D14" s="26" t="s">
        <v>105</v>
      </c>
      <c r="E14" s="27" t="s">
        <v>608</v>
      </c>
      <c r="F14" s="27" t="s">
        <v>540</v>
      </c>
      <c r="G14" s="27">
        <v>2.2999999999999998</v>
      </c>
      <c r="H14" s="28">
        <v>45540</v>
      </c>
      <c r="I14" s="76">
        <v>0.375</v>
      </c>
      <c r="J14" s="28">
        <v>45540</v>
      </c>
      <c r="K14" s="76">
        <v>0.3888888888888889</v>
      </c>
      <c r="L14" s="28">
        <v>45540</v>
      </c>
      <c r="M14" s="76">
        <v>0.4236111111111111</v>
      </c>
      <c r="N14" s="26">
        <v>-80</v>
      </c>
      <c r="O14" s="26">
        <v>72</v>
      </c>
      <c r="P14" s="26" t="s">
        <v>20</v>
      </c>
      <c r="Q14" s="29" t="s">
        <v>106</v>
      </c>
      <c r="R14" s="29" t="s">
        <v>107</v>
      </c>
      <c r="S14" s="26">
        <v>173</v>
      </c>
      <c r="T14" s="26">
        <v>71</v>
      </c>
      <c r="U14" s="26" t="s">
        <v>541</v>
      </c>
      <c r="V14" s="28">
        <v>45345</v>
      </c>
      <c r="W14" s="26" t="s">
        <v>108</v>
      </c>
      <c r="X14" s="27" t="s">
        <v>559</v>
      </c>
      <c r="Y14" s="86" t="s">
        <v>584</v>
      </c>
      <c r="Z14" s="86" t="s">
        <v>544</v>
      </c>
      <c r="AA14" s="26" t="s">
        <v>609</v>
      </c>
      <c r="AB14" s="26" t="s">
        <v>610</v>
      </c>
      <c r="AC14" s="26" t="s">
        <v>601</v>
      </c>
      <c r="AD14" s="26" t="s">
        <v>602</v>
      </c>
      <c r="AE14" s="86" t="s">
        <v>551</v>
      </c>
      <c r="AF14" s="86" t="s">
        <v>551</v>
      </c>
      <c r="AG14" s="86" t="s">
        <v>551</v>
      </c>
      <c r="AH14" s="86" t="s">
        <v>551</v>
      </c>
      <c r="AI14" s="86" t="s">
        <v>551</v>
      </c>
      <c r="AJ14" s="86" t="s">
        <v>551</v>
      </c>
      <c r="AK14" s="86" t="s">
        <v>551</v>
      </c>
      <c r="AL14" s="86" t="s">
        <v>551</v>
      </c>
      <c r="AM14" s="86" t="s">
        <v>551</v>
      </c>
      <c r="AN14" s="86" t="s">
        <v>551</v>
      </c>
      <c r="AO14" s="86" t="s">
        <v>551</v>
      </c>
      <c r="AP14" s="86" t="s">
        <v>551</v>
      </c>
      <c r="AQ14" s="86" t="s">
        <v>551</v>
      </c>
      <c r="AR14" s="86" t="s">
        <v>551</v>
      </c>
      <c r="AS14" s="86" t="s">
        <v>551</v>
      </c>
      <c r="AT14" s="86" t="s">
        <v>551</v>
      </c>
      <c r="AU14" s="86" t="s">
        <v>551</v>
      </c>
      <c r="AV14" s="86" t="s">
        <v>551</v>
      </c>
      <c r="AW14" s="86" t="s">
        <v>551</v>
      </c>
      <c r="AX14" s="86" t="s">
        <v>551</v>
      </c>
      <c r="AY14" s="86" t="s">
        <v>551</v>
      </c>
      <c r="AZ14" s="86" t="s">
        <v>551</v>
      </c>
      <c r="BA14" s="86" t="s">
        <v>551</v>
      </c>
      <c r="BB14" s="86" t="s">
        <v>551</v>
      </c>
      <c r="BC14" s="86" t="s">
        <v>551</v>
      </c>
      <c r="BD14" s="86" t="s">
        <v>551</v>
      </c>
      <c r="BE14" s="86" t="s">
        <v>551</v>
      </c>
      <c r="BF14" s="86" t="s">
        <v>551</v>
      </c>
      <c r="BG14" s="87" t="s">
        <v>556</v>
      </c>
      <c r="BH14" s="87" t="s">
        <v>556</v>
      </c>
      <c r="BI14" s="87" t="s">
        <v>556</v>
      </c>
    </row>
  </sheetData>
  <mergeCells count="6">
    <mergeCell ref="O1:T1"/>
    <mergeCell ref="X1:AB1"/>
    <mergeCell ref="BG1:BI1"/>
    <mergeCell ref="A1:F1"/>
    <mergeCell ref="G1:N1"/>
    <mergeCell ref="AE1:BF1"/>
  </mergeCells>
  <dataValidations count="1">
    <dataValidation type="custom" allowBlank="1" showDropDown="1" showErrorMessage="1" sqref="H11:H14 J11:J14 L11:L14 V11:V14" xr:uid="{00000000-0002-0000-0300-000000000000}">
      <formula1>OR(NOT(ISERROR(DATEVALUE(H11))), AND(ISNUMBER(H11), LEFT(CELL("format", H11))="D"))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9"/>
  <sheetViews>
    <sheetView zoomScale="120" zoomScaleNormal="120" workbookViewId="0">
      <selection sqref="A1:U9"/>
    </sheetView>
  </sheetViews>
  <sheetFormatPr baseColWidth="10" defaultRowHeight="15" x14ac:dyDescent="0.2"/>
  <sheetData>
    <row r="1" spans="1:21" s="62" customFormat="1" ht="16" customHeight="1" x14ac:dyDescent="0.2">
      <c r="A1" s="62" t="s">
        <v>611</v>
      </c>
      <c r="B1" s="62" t="s">
        <v>612</v>
      </c>
      <c r="C1" s="63" t="s">
        <v>613</v>
      </c>
      <c r="D1" s="62" t="s">
        <v>1</v>
      </c>
      <c r="E1" s="62" t="s">
        <v>614</v>
      </c>
      <c r="F1" s="62" t="s">
        <v>18</v>
      </c>
      <c r="G1" s="62" t="s">
        <v>615</v>
      </c>
      <c r="H1" s="62" t="s">
        <v>616</v>
      </c>
      <c r="I1" s="62" t="s">
        <v>617</v>
      </c>
      <c r="J1" s="62" t="s">
        <v>618</v>
      </c>
      <c r="K1" s="62" t="s">
        <v>619</v>
      </c>
      <c r="L1" s="64" t="s">
        <v>620</v>
      </c>
      <c r="M1" s="62" t="s">
        <v>621</v>
      </c>
      <c r="N1" s="62" t="s">
        <v>622</v>
      </c>
      <c r="O1" s="64" t="s">
        <v>623</v>
      </c>
      <c r="P1" s="62" t="s">
        <v>624</v>
      </c>
      <c r="Q1" s="64" t="s">
        <v>625</v>
      </c>
      <c r="R1" s="62" t="s">
        <v>626</v>
      </c>
      <c r="S1" s="62" t="s">
        <v>627</v>
      </c>
      <c r="T1" s="62" t="s">
        <v>628</v>
      </c>
      <c r="U1" s="62" t="s">
        <v>629</v>
      </c>
    </row>
    <row r="2" spans="1:21" ht="16" customHeight="1" x14ac:dyDescent="0.2">
      <c r="A2" t="s">
        <v>630</v>
      </c>
      <c r="B2" s="58" t="s">
        <v>631</v>
      </c>
      <c r="C2" s="58" t="s">
        <v>632</v>
      </c>
      <c r="D2" t="s">
        <v>32</v>
      </c>
      <c r="E2" t="s">
        <v>32</v>
      </c>
      <c r="F2" s="59" t="s">
        <v>633</v>
      </c>
      <c r="G2" t="s">
        <v>32</v>
      </c>
      <c r="H2" t="s">
        <v>32</v>
      </c>
      <c r="I2" t="s">
        <v>32</v>
      </c>
      <c r="J2">
        <v>33.4</v>
      </c>
      <c r="K2" t="s">
        <v>634</v>
      </c>
      <c r="L2" s="60">
        <v>0.78210000000000002</v>
      </c>
      <c r="M2" s="60"/>
      <c r="N2">
        <f>VLOOKUP(B2,[1]Conversion_rate!A:B,2,FALSE)</f>
        <v>6.5700000000000003E-3</v>
      </c>
      <c r="O2" s="60">
        <f t="shared" ref="O2:O9" si="0">1-N2</f>
        <v>0.99343000000000004</v>
      </c>
      <c r="P2">
        <f>VLOOKUP(B:B,[1]Conversion_rate_query!A:B,2,FALSE)</f>
        <v>5.4099999999999999E-3</v>
      </c>
      <c r="Q2" s="60">
        <f t="shared" ref="Q2:Q9" si="1">1-P2</f>
        <v>0.99458999999999997</v>
      </c>
      <c r="R2" s="61">
        <v>45373</v>
      </c>
      <c r="S2" s="61">
        <v>45404</v>
      </c>
      <c r="T2" s="61">
        <v>45411</v>
      </c>
      <c r="U2" t="s">
        <v>635</v>
      </c>
    </row>
    <row r="3" spans="1:21" ht="16" customHeight="1" x14ac:dyDescent="0.2">
      <c r="A3" t="s">
        <v>636</v>
      </c>
      <c r="B3" s="58" t="s">
        <v>637</v>
      </c>
      <c r="C3" s="58" t="s">
        <v>632</v>
      </c>
      <c r="D3" t="s">
        <v>32</v>
      </c>
      <c r="E3" t="s">
        <v>32</v>
      </c>
      <c r="F3" s="59" t="s">
        <v>633</v>
      </c>
      <c r="G3" t="s">
        <v>32</v>
      </c>
      <c r="H3" t="s">
        <v>32</v>
      </c>
      <c r="I3" t="s">
        <v>32</v>
      </c>
      <c r="J3">
        <v>40.4</v>
      </c>
      <c r="K3" t="s">
        <v>634</v>
      </c>
      <c r="L3" s="60">
        <v>0.75449999999999995</v>
      </c>
      <c r="M3" s="60"/>
      <c r="N3">
        <f>VLOOKUP(B3,[1]Conversion_rate!A:B,2,FALSE)</f>
        <v>1.0319999999999999E-2</v>
      </c>
      <c r="O3" s="60">
        <f t="shared" si="0"/>
        <v>0.98968</v>
      </c>
      <c r="P3">
        <f>VLOOKUP(B:B,[1]Conversion_rate_query!A:B,2,FALSE)</f>
        <v>8.26E-3</v>
      </c>
      <c r="Q3" s="60">
        <f t="shared" si="1"/>
        <v>0.99173999999999995</v>
      </c>
      <c r="R3" s="61">
        <v>45373</v>
      </c>
      <c r="S3" s="61">
        <v>45404</v>
      </c>
      <c r="T3" s="61">
        <v>45411</v>
      </c>
      <c r="U3" t="s">
        <v>638</v>
      </c>
    </row>
    <row r="4" spans="1:21" ht="16" customHeight="1" x14ac:dyDescent="0.2">
      <c r="A4" t="s">
        <v>639</v>
      </c>
      <c r="B4" s="58" t="s">
        <v>74</v>
      </c>
      <c r="C4" s="58" t="s">
        <v>632</v>
      </c>
      <c r="D4" t="s">
        <v>32</v>
      </c>
      <c r="E4" t="s">
        <v>32</v>
      </c>
      <c r="F4" s="59" t="s">
        <v>633</v>
      </c>
      <c r="G4" t="s">
        <v>32</v>
      </c>
      <c r="H4" t="s">
        <v>32</v>
      </c>
      <c r="I4" t="s">
        <v>32</v>
      </c>
      <c r="J4">
        <v>35.6</v>
      </c>
      <c r="K4" t="s">
        <v>634</v>
      </c>
      <c r="L4" s="60">
        <v>0.76049999999999995</v>
      </c>
      <c r="M4" s="60"/>
      <c r="N4">
        <f>VLOOKUP(B4,[1]Conversion_rate!A:B,2,FALSE)</f>
        <v>9.7300000000000008E-3</v>
      </c>
      <c r="O4" s="60">
        <f t="shared" si="0"/>
        <v>0.99026999999999998</v>
      </c>
      <c r="P4">
        <f>VLOOKUP(B:B,[1]Conversion_rate_query!A:B,2,FALSE)</f>
        <v>8.3800000000000003E-3</v>
      </c>
      <c r="Q4" s="60">
        <f t="shared" si="1"/>
        <v>0.99161999999999995</v>
      </c>
      <c r="R4" s="61">
        <v>45373</v>
      </c>
      <c r="S4" s="61">
        <v>45404</v>
      </c>
      <c r="T4" s="61">
        <v>45411</v>
      </c>
      <c r="U4" t="s">
        <v>640</v>
      </c>
    </row>
    <row r="5" spans="1:21" ht="16" customHeight="1" x14ac:dyDescent="0.2">
      <c r="A5" t="s">
        <v>641</v>
      </c>
      <c r="B5" s="58" t="s">
        <v>642</v>
      </c>
      <c r="C5" s="58" t="s">
        <v>632</v>
      </c>
      <c r="D5" t="s">
        <v>32</v>
      </c>
      <c r="E5" t="s">
        <v>32</v>
      </c>
      <c r="F5" s="59" t="s">
        <v>633</v>
      </c>
      <c r="G5" t="s">
        <v>32</v>
      </c>
      <c r="H5" t="s">
        <v>32</v>
      </c>
      <c r="I5" t="s">
        <v>32</v>
      </c>
      <c r="J5">
        <v>35.4</v>
      </c>
      <c r="K5" t="s">
        <v>634</v>
      </c>
      <c r="L5" s="60">
        <v>0.76049999999999995</v>
      </c>
      <c r="M5" s="60"/>
      <c r="N5">
        <f>VLOOKUP(B5,[1]Conversion_rate!A:B,2,FALSE)</f>
        <v>1.374E-2</v>
      </c>
      <c r="O5" s="60">
        <f t="shared" si="0"/>
        <v>0.98626000000000003</v>
      </c>
      <c r="P5">
        <f>VLOOKUP(B:B,[1]Conversion_rate_query!A:B,2,FALSE)</f>
        <v>1.124E-2</v>
      </c>
      <c r="Q5" s="60">
        <f t="shared" si="1"/>
        <v>0.98875999999999997</v>
      </c>
      <c r="R5" s="61">
        <v>45373</v>
      </c>
      <c r="S5" s="61">
        <v>45404</v>
      </c>
      <c r="T5" s="61">
        <v>45411</v>
      </c>
      <c r="U5" t="s">
        <v>643</v>
      </c>
    </row>
    <row r="6" spans="1:21" ht="16" customHeight="1" x14ac:dyDescent="0.2">
      <c r="A6" t="s">
        <v>644</v>
      </c>
      <c r="B6" s="58" t="s">
        <v>645</v>
      </c>
      <c r="C6" s="58" t="s">
        <v>632</v>
      </c>
      <c r="D6" t="s">
        <v>32</v>
      </c>
      <c r="E6" t="s">
        <v>32</v>
      </c>
      <c r="F6" s="59" t="s">
        <v>633</v>
      </c>
      <c r="G6" t="s">
        <v>32</v>
      </c>
      <c r="H6" t="s">
        <v>32</v>
      </c>
      <c r="I6" t="s">
        <v>32</v>
      </c>
      <c r="J6">
        <v>41.4</v>
      </c>
      <c r="K6" t="s">
        <v>634</v>
      </c>
      <c r="L6" s="60">
        <v>0.77310000000000001</v>
      </c>
      <c r="M6" s="60"/>
      <c r="N6">
        <f>VLOOKUP(B6,[1]Conversion_rate!A:B,2,FALSE)</f>
        <v>1.8700000000000001E-2</v>
      </c>
      <c r="O6" s="60">
        <f t="shared" si="0"/>
        <v>0.98129999999999995</v>
      </c>
      <c r="P6">
        <f>VLOOKUP(B:B,[1]Conversion_rate_query!A:B,2,FALSE)</f>
        <v>1.32E-2</v>
      </c>
      <c r="Q6" s="60">
        <f t="shared" si="1"/>
        <v>0.98680000000000001</v>
      </c>
      <c r="R6" s="61">
        <v>45373</v>
      </c>
      <c r="S6" s="61">
        <v>45404</v>
      </c>
      <c r="T6" s="61">
        <v>45411</v>
      </c>
      <c r="U6" t="s">
        <v>646</v>
      </c>
    </row>
    <row r="7" spans="1:21" ht="16" customHeight="1" x14ac:dyDescent="0.2">
      <c r="A7" t="s">
        <v>647</v>
      </c>
      <c r="B7" s="58" t="s">
        <v>648</v>
      </c>
      <c r="C7" s="58" t="s">
        <v>632</v>
      </c>
      <c r="D7" t="s">
        <v>32</v>
      </c>
      <c r="E7" t="s">
        <v>32</v>
      </c>
      <c r="F7" s="59" t="s">
        <v>633</v>
      </c>
      <c r="G7" t="s">
        <v>32</v>
      </c>
      <c r="H7" t="s">
        <v>32</v>
      </c>
      <c r="I7" t="s">
        <v>32</v>
      </c>
      <c r="J7">
        <v>41.6</v>
      </c>
      <c r="K7" t="s">
        <v>634</v>
      </c>
      <c r="L7" s="60">
        <v>0.77090000000000003</v>
      </c>
      <c r="M7" s="60"/>
      <c r="N7">
        <f>VLOOKUP(B7,[1]Conversion_rate!A:B,2,FALSE)</f>
        <v>8.1600000000000006E-3</v>
      </c>
      <c r="O7" s="60">
        <f t="shared" si="0"/>
        <v>0.99184000000000005</v>
      </c>
      <c r="P7">
        <f>VLOOKUP(B:B,[1]Conversion_rate_query!A:B,2,FALSE)</f>
        <v>7.0299999999999998E-3</v>
      </c>
      <c r="Q7" s="60">
        <f t="shared" si="1"/>
        <v>0.99297000000000002</v>
      </c>
      <c r="R7" s="61">
        <v>45373</v>
      </c>
      <c r="S7" s="61">
        <v>45404</v>
      </c>
      <c r="T7" s="61">
        <v>45411</v>
      </c>
      <c r="U7" t="s">
        <v>649</v>
      </c>
    </row>
    <row r="8" spans="1:21" ht="16" customHeight="1" x14ac:dyDescent="0.2">
      <c r="A8" t="s">
        <v>650</v>
      </c>
      <c r="B8" s="58" t="s">
        <v>651</v>
      </c>
      <c r="C8" s="58" t="s">
        <v>632</v>
      </c>
      <c r="D8" t="s">
        <v>32</v>
      </c>
      <c r="E8" t="s">
        <v>32</v>
      </c>
      <c r="F8" s="59" t="s">
        <v>633</v>
      </c>
      <c r="G8" t="s">
        <v>32</v>
      </c>
      <c r="H8" t="s">
        <v>32</v>
      </c>
      <c r="I8" t="s">
        <v>32</v>
      </c>
      <c r="J8">
        <v>35.4</v>
      </c>
      <c r="K8" t="s">
        <v>634</v>
      </c>
      <c r="L8" s="60">
        <v>0.79059999999999997</v>
      </c>
      <c r="M8" s="60"/>
      <c r="N8">
        <f>VLOOKUP(B8,[1]Conversion_rate!A:B,2,FALSE)</f>
        <v>7.3200000000000001E-3</v>
      </c>
      <c r="O8" s="60">
        <f t="shared" si="0"/>
        <v>0.99268000000000001</v>
      </c>
      <c r="P8">
        <f>VLOOKUP(B:B,[1]Conversion_rate_query!A:B,2,FALSE)</f>
        <v>6.13E-3</v>
      </c>
      <c r="Q8" s="60">
        <f t="shared" si="1"/>
        <v>0.99387000000000003</v>
      </c>
      <c r="R8" s="61">
        <v>45373</v>
      </c>
      <c r="S8" s="61">
        <v>45404</v>
      </c>
      <c r="T8" s="61">
        <v>45411</v>
      </c>
      <c r="U8" t="s">
        <v>652</v>
      </c>
    </row>
    <row r="9" spans="1:21" ht="16" customHeight="1" x14ac:dyDescent="0.2">
      <c r="A9" t="s">
        <v>653</v>
      </c>
      <c r="B9" s="58" t="s">
        <v>654</v>
      </c>
      <c r="C9" s="58" t="s">
        <v>655</v>
      </c>
      <c r="D9" t="s">
        <v>32</v>
      </c>
      <c r="E9" t="s">
        <v>32</v>
      </c>
      <c r="F9" s="59" t="s">
        <v>633</v>
      </c>
      <c r="G9" t="s">
        <v>32</v>
      </c>
      <c r="H9" t="s">
        <v>32</v>
      </c>
      <c r="I9" t="s">
        <v>32</v>
      </c>
      <c r="J9">
        <v>35.6</v>
      </c>
      <c r="K9" t="s">
        <v>634</v>
      </c>
      <c r="L9" s="60">
        <v>0.77880000000000005</v>
      </c>
      <c r="M9" s="60"/>
      <c r="N9">
        <f>VLOOKUP(B9,[1]Conversion_rate!A:B,2,FALSE)</f>
        <v>8.6700000000000006E-3</v>
      </c>
      <c r="O9" s="60">
        <f t="shared" si="0"/>
        <v>0.99133000000000004</v>
      </c>
      <c r="P9">
        <f>VLOOKUP(B:B,[1]Conversion_rate_query!A:B,2,FALSE)</f>
        <v>7.28E-3</v>
      </c>
      <c r="Q9" s="60">
        <f t="shared" si="1"/>
        <v>0.99272000000000005</v>
      </c>
      <c r="R9" s="61">
        <v>45373</v>
      </c>
      <c r="S9" s="61">
        <v>45404</v>
      </c>
      <c r="T9" s="61">
        <v>45411</v>
      </c>
      <c r="U9" t="s">
        <v>656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Metadata</vt:lpstr>
      <vt:lpstr>Missing Samples</vt:lpstr>
      <vt:lpstr>Sheet2</vt:lpstr>
      <vt:lpstr>Audubon Liver</vt:lpstr>
      <vt:lpstr>Sheet3</vt:lpstr>
      <vt:lpstr>Metadata!OLE_LINK1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Farney, Sara (NIH/NHGRI) [F]</cp:lastModifiedBy>
  <dcterms:created xsi:type="dcterms:W3CDTF">2026-01-03T20:05:02Z</dcterms:created>
  <dcterms:modified xsi:type="dcterms:W3CDTF">2026-06-26T17:17:33Z</dcterms:modified>
</cp:coreProperties>
</file>